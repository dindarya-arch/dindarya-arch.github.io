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amètres" sheetId="1" r:id="rId5"/>
    <sheet state="visible" name="Étoiles principales" sheetId="2" r:id="rId6"/>
    <sheet state="visible" name="Étoiles secondaires" sheetId="3" r:id="rId7"/>
    <sheet state="visible" name="Secteurs" sheetId="4" r:id="rId8"/>
    <sheet state="visible" name="Phases comparées" sheetId="5" r:id="rId9"/>
    <sheet state="visible" name="Villes de référence" sheetId="6" r:id="rId10"/>
  </sheets>
  <definedNames>
    <definedName name="Phase">'Paramètres'!$B$4</definedName>
  </definedNames>
  <calcPr/>
</workbook>
</file>

<file path=xl/sharedStrings.xml><?xml version="1.0" encoding="utf-8"?>
<sst xmlns="http://schemas.openxmlformats.org/spreadsheetml/2006/main" count="340" uniqueCount="248">
  <si>
    <t>Zodiaque géodésique à 13 signes — classeur de données vérifiées</t>
  </si>
  <si>
    <t>Étoiles principales des 13 signes</t>
  </si>
  <si>
    <t>Secteurs zodiacaux (limites UAI) et projection terrestre</t>
  </si>
  <si>
    <t>Étoiles secondaires (liste Meta AI, positions recalculées)</t>
  </si>
  <si>
    <t>Sens inverse (ciel vu d'en bas) : longitude terrestre = φ − longitude écliptique J2000.</t>
  </si>
  <si>
    <t>En sens inverse, le début écliptique d'un signe correspond à sa limite Est sur Terre.</t>
  </si>
  <si>
    <t>λ vérifiées sur coordonnées J2000 ; « Erreur Meta » = valeur Meta − valeur vérifiée.</t>
  </si>
  <si>
    <t>Méridien recalculé depuis la phase φ ; villes et écarts établis pour φ = 206,178.</t>
  </si>
  <si>
    <t>Phase φ (°)</t>
  </si>
  <si>
    <t>Signe</t>
  </si>
  <si>
    <t>Étoile</t>
  </si>
  <si>
    <t>Entrée modifiable. 206,178 = Spica (203,841°) posée sur le méridien de Paris (2,337° E). Toutes les colonnes « Méridien » et « Secteurs » se recalculent.</t>
  </si>
  <si>
    <t>λ écliptique J2000 (°)</t>
  </si>
  <si>
    <t>Spica tombe à (°)</t>
  </si>
  <si>
    <t>β écliptique (°)</t>
  </si>
  <si>
    <t>Méridien terrestre (°, Est +)</t>
  </si>
  <si>
    <t>λ selon Meta AI (°)</t>
  </si>
  <si>
    <t>Erreur Meta (°)</t>
  </si>
  <si>
    <t>Ville ≥ 500 000 hab. la plus proche (φ = 206,178)</t>
  </si>
  <si>
    <t>Écart (°)</t>
  </si>
  <si>
    <t>Ville historique la plus proche</t>
  </si>
  <si>
    <t>Ville ou lieu (φ = 206,178)</t>
  </si>
  <si>
    <t>Bélier</t>
  </si>
  <si>
    <t>Écart en longitude (°)</t>
  </si>
  <si>
    <t>λ début (°)</t>
  </si>
  <si>
    <t>Résonance</t>
  </si>
  <si>
    <t>Mesarthim (γ Ari)</t>
  </si>
  <si>
    <t>λ fin (°)</t>
  </si>
  <si>
    <t>Hamal</t>
  </si>
  <si>
    <t>Largeur (°)</t>
  </si>
  <si>
    <t>Limite Ouest (°, Est +)</t>
  </si>
  <si>
    <t>Limite Est (°, Est +)</t>
  </si>
  <si>
    <t>Port-Vila (Vanuatu)</t>
  </si>
  <si>
    <t>0,2</t>
  </si>
  <si>
    <t>Aucune</t>
  </si>
  <si>
    <t>Taureau</t>
  </si>
  <si>
    <t>Alcyone</t>
  </si>
  <si>
    <t>Légende</t>
  </si>
  <si>
    <t>Melbourne</t>
  </si>
  <si>
    <t>1,2</t>
  </si>
  <si>
    <t>Auckland</t>
  </si>
  <si>
    <t>Pléiades = Subaru au Japon ; écho régional</t>
  </si>
  <si>
    <t>Cellule jaune</t>
  </si>
  <si>
    <t>Ise</t>
  </si>
  <si>
    <t>Aldebaran</t>
  </si>
  <si>
    <t>Sheratan (β Ari)</t>
  </si>
  <si>
    <t>Sanctuaire d'Ise ; Kyoto ; Nagoya</t>
  </si>
  <si>
    <t>0,34 ; 0,63 ; 0,52</t>
  </si>
  <si>
    <t>Forte : étoile royale sur le sanctuaire le plus sacré du shintô</t>
  </si>
  <si>
    <t>Elnath</t>
  </si>
  <si>
    <t>Shenyang</t>
  </si>
  <si>
    <t>0,17</t>
  </si>
  <si>
    <t>Faible</t>
  </si>
  <si>
    <t>Gémeaux</t>
  </si>
  <si>
    <t>Castor</t>
  </si>
  <si>
    <t>Yangon (Shwedagon) ; Mandalay</t>
  </si>
  <si>
    <t>0,2 ; 0,15</t>
  </si>
  <si>
    <t>Moyenne : capitales birmanes</t>
  </si>
  <si>
    <t>Poissons</t>
  </si>
  <si>
    <t>Fum al Samakah (β Psc)</t>
  </si>
  <si>
    <t>Pollux</t>
  </si>
  <si>
    <t>Krasnoïarsk</t>
  </si>
  <si>
    <t>0,03</t>
  </si>
  <si>
    <t>Cancer</t>
  </si>
  <si>
    <t>Asellus Australis</t>
  </si>
  <si>
    <t>Vancouver</t>
  </si>
  <si>
    <t>Mexico</t>
  </si>
  <si>
    <t>Bhopal ; Delhi</t>
  </si>
  <si>
    <t>0,05 ; 0,22</t>
  </si>
  <si>
    <t>Alhena (γ Gem)</t>
  </si>
  <si>
    <t>Coïncidence de métropole</t>
  </si>
  <si>
    <t>Acubens</t>
  </si>
  <si>
    <t>Ahmedabad ; Mumbai</t>
  </si>
  <si>
    <t>0,05 ; 0,35</t>
  </si>
  <si>
    <t>Lion</t>
  </si>
  <si>
    <t>Regulus</t>
  </si>
  <si>
    <t>Hanzhong</t>
  </si>
  <si>
    <t>Détroit d'Ormuz (Bandar Abbas)</t>
  </si>
  <si>
    <t>Xi'an</t>
  </si>
  <si>
    <t>0,08</t>
  </si>
  <si>
    <t>Forte : étoile royale sur la porte de la Perse (Lion et Soleil)</t>
  </si>
  <si>
    <t>Algieba</t>
  </si>
  <si>
    <t>Asellus Borealis (γ Cnc)</t>
  </si>
  <si>
    <t>0,29</t>
  </si>
  <si>
    <t>Avec Regulus</t>
  </si>
  <si>
    <t>Denebola</t>
  </si>
  <si>
    <t>Onglets</t>
  </si>
  <si>
    <t>Jérusalem ; Mersin</t>
  </si>
  <si>
    <t>0,66 ; 0,08</t>
  </si>
  <si>
    <t>Moyenne : lion de Juda, à la limite</t>
  </si>
  <si>
    <t>Vierge</t>
  </si>
  <si>
    <t>Vindemiatrix</t>
  </si>
  <si>
    <t>Tiruchirappalli</t>
  </si>
  <si>
    <t>Étoiles principales</t>
  </si>
  <si>
    <t>Delhi</t>
  </si>
  <si>
    <t>26 étoiles des 13 signes, positions PyEphem / Wikipédia J2000, villes vérifiées</t>
  </si>
  <si>
    <t>Étoiles secondaires</t>
  </si>
  <si>
    <t>Zosma (δ Leo)</t>
  </si>
  <si>
    <t>Vienne</t>
  </si>
  <si>
    <t>0,13</t>
  </si>
  <si>
    <t>18 étoiles ajoutées par Meta AI, recalculées ; colonne d'erreur de la version Meta</t>
  </si>
  <si>
    <t>Forte : la vendangeuse sur la capitale aux vignes</t>
  </si>
  <si>
    <t>Spica</t>
  </si>
  <si>
    <t>Secteurs</t>
  </si>
  <si>
    <t>Bornes UAI des 13 constellations sur l'écliptique et leur projection terrestre</t>
  </si>
  <si>
    <t>Phases comparées</t>
  </si>
  <si>
    <t>Calages candidats et score de moindre carré robuste (écarts plafonnés à 1°)</t>
  </si>
  <si>
    <t>Villes de référence</t>
  </si>
  <si>
    <t>45 villes historiques figées utilisées pour le calcul de phase</t>
  </si>
  <si>
    <t>Paris</t>
  </si>
  <si>
    <t>0,01</t>
  </si>
  <si>
    <t>Sources</t>
  </si>
  <si>
    <t>Point d'ancrage (calage)</t>
  </si>
  <si>
    <t>Balance</t>
  </si>
  <si>
    <t>Zubenelgenubi</t>
  </si>
  <si>
    <t>Positions</t>
  </si>
  <si>
    <t>Tbilisi</t>
  </si>
  <si>
    <t>Catalogue PyEphem 4.2.1 ; coordonnées J2000 Wikipédia pour les étoiles absentes du catalogue</t>
  </si>
  <si>
    <t>Babylone</t>
  </si>
  <si>
    <t>Bornes</t>
  </si>
  <si>
    <t>Limites UAI (Delporte 1930), valeurs J2000 arrondies</t>
  </si>
  <si>
    <t>Zavijava (β Vir)</t>
  </si>
  <si>
    <t>Villes</t>
  </si>
  <si>
    <t>GeoNames (villes ≥ 500 000 hab.) et longitudes usuelles des sites historiques</t>
  </si>
  <si>
    <t>Atlantique ; Islande, Cap-Vert à 1-2°</t>
  </si>
  <si>
    <t>—</t>
  </si>
  <si>
    <t>Zubeneschamali</t>
  </si>
  <si>
    <t>Üsküdar</t>
  </si>
  <si>
    <t>Atlantique ; Praia (Cap-Vert)</t>
  </si>
  <si>
    <t>0,32</t>
  </si>
  <si>
    <t>Istanbul</t>
  </si>
  <si>
    <t>Scorpion</t>
  </si>
  <si>
    <t>Antares</t>
  </si>
  <si>
    <t>Porrima (γ Vir)</t>
  </si>
  <si>
    <t>Rio de Janeiro</t>
  </si>
  <si>
    <t>0,40</t>
  </si>
  <si>
    <t>Moyenne : étoile royale sur la métropole du Brésil</t>
  </si>
  <si>
    <t>Shaula</t>
  </si>
  <si>
    <t>Zagreb</t>
  </si>
  <si>
    <t>Auva (δ Vir)</t>
  </si>
  <si>
    <t>Buenos Aires</t>
  </si>
  <si>
    <t>Ophiuchus</t>
  </si>
  <si>
    <t>Sabik</t>
  </si>
  <si>
    <t>Prague</t>
  </si>
  <si>
    <t>Nuuk (Groenland)</t>
  </si>
  <si>
    <t>0,05</t>
  </si>
  <si>
    <t>Rasalhague</t>
  </si>
  <si>
    <t>Zubenelakrab (γ Lib)</t>
  </si>
  <si>
    <t>Montevideo</t>
  </si>
  <si>
    <t>Sagittaire</t>
  </si>
  <si>
    <t>Kaus Australis</t>
  </si>
  <si>
    <t>João Pessoa</t>
  </si>
  <si>
    <t>Saint-Jacques</t>
  </si>
  <si>
    <t>Dschubba (δ Sco)</t>
  </si>
  <si>
    <t>La Paz</t>
  </si>
  <si>
    <t>0,75</t>
  </si>
  <si>
    <t>Nunki</t>
  </si>
  <si>
    <t>Cali ; Lima</t>
  </si>
  <si>
    <t>0,31 ; 0,82</t>
  </si>
  <si>
    <t>Capricorne</t>
  </si>
  <si>
    <t>Dabih</t>
  </si>
  <si>
    <t>Maceió</t>
  </si>
  <si>
    <t>Cebalrai (β Oph)</t>
  </si>
  <si>
    <t>Austin ; Teotihuacan</t>
  </si>
  <si>
    <t>0,13 ; 0,97</t>
  </si>
  <si>
    <t>Deneb Algedi</t>
  </si>
  <si>
    <t>San Diego ; Tijuana</t>
  </si>
  <si>
    <t>0,20 ; 0,36</t>
  </si>
  <si>
    <t>Cusco</t>
  </si>
  <si>
    <t>Moyenne : frontière de deux signes et deux pays</t>
  </si>
  <si>
    <t>Sargas (θ Sco)</t>
  </si>
  <si>
    <t>Verseau</t>
  </si>
  <si>
    <t>Sadalsuud</t>
  </si>
  <si>
    <t>Manaus</t>
  </si>
  <si>
    <t>0,05 ; 0,21</t>
  </si>
  <si>
    <t>Avec Deneb Algedi</t>
  </si>
  <si>
    <t>Kaus Borealis (λ Sgr)</t>
  </si>
  <si>
    <t>Sadalmelik</t>
  </si>
  <si>
    <t>Santo Domingo Oeste</t>
  </si>
  <si>
    <t>Pacifique, au large du Canada</t>
  </si>
  <si>
    <t>Le porteur d'eau sur l'océan</t>
  </si>
  <si>
    <t>Alpherg (η Psc)</t>
  </si>
  <si>
    <t>Ascella (ζ Sgr)</t>
  </si>
  <si>
    <t>Fidji (Suva)</t>
  </si>
  <si>
    <t>0,9</t>
  </si>
  <si>
    <t>Antiméridien, ligne de changement de date</t>
  </si>
  <si>
    <t>Alrescha</t>
  </si>
  <si>
    <t>Callao</t>
  </si>
  <si>
    <t>Washington</t>
  </si>
  <si>
    <t>Nashira (γ Cap)</t>
  </si>
  <si>
    <t>1,6</t>
  </si>
  <si>
    <t>Le nœud des Poissons près de l'antiméridien</t>
  </si>
  <si>
    <t>Mexicali</t>
  </si>
  <si>
    <t>Sadachbia (γ Aqr)</t>
  </si>
  <si>
    <t>Skat (δ Aqr)</t>
  </si>
  <si>
    <t>Les bornes du Poissons dépassent 360° (351,57 → 389,09) pour rester continues à travers 0° Bélier.</t>
  </si>
  <si>
    <t>Calages comparés</t>
  </si>
  <si>
    <t>25 étoiles (paires &lt; 0,3° fusionnées) contre 45 villes historiques ; coût = Σ min(écart, 1°)² ; rang sur 36 000 phases (pas 0,01°).</t>
  </si>
  <si>
    <t>Calage</t>
  </si>
  <si>
    <t>φ (°)</t>
  </si>
  <si>
    <t>Spica tombe à (°, Est +)</t>
  </si>
  <si>
    <t>Étoiles à &lt; 1° d'une ville</t>
  </si>
  <si>
    <t>Coût robuste</t>
  </si>
  <si>
    <t>Rang / 36 000</t>
  </si>
  <si>
    <t>Spica sur Paris (calage retenu)</t>
  </si>
  <si>
    <t>Réglage Meta AI V3</t>
  </si>
  <si>
    <t>Phase A : Lion de Londres à Jérusalem</t>
  </si>
  <si>
    <t>Phase « Spica sur Delhi »</t>
  </si>
  <si>
    <t>Meilleur score robuste (Spica sur Pagan)</t>
  </si>
  <si>
    <t>Moindre carré brut (non robuste)</t>
  </si>
  <si>
    <t>Villes historiques de référence</t>
  </si>
  <si>
    <t>Liste figée avant le calcul de phase.</t>
  </si>
  <si>
    <t>Ville</t>
  </si>
  <si>
    <t>Longitude (°, Est +)</t>
  </si>
  <si>
    <t>Teotihuacan</t>
  </si>
  <si>
    <t>Tikal</t>
  </si>
  <si>
    <t>Chichén Itzá</t>
  </si>
  <si>
    <t>Cordoue</t>
  </si>
  <si>
    <t>Tolède</t>
  </si>
  <si>
    <t>Londres</t>
  </si>
  <si>
    <t>Aix-la-Chapelle</t>
  </si>
  <si>
    <t>Carthage</t>
  </si>
  <si>
    <t>Rome</t>
  </si>
  <si>
    <t>Delphes</t>
  </si>
  <si>
    <t>Athènes</t>
  </si>
  <si>
    <t>Alexandrie</t>
  </si>
  <si>
    <t>Kiev</t>
  </si>
  <si>
    <t>Memphis/Gizeh</t>
  </si>
  <si>
    <t>Louxor/Thèbes</t>
  </si>
  <si>
    <t>Jérusalem</t>
  </si>
  <si>
    <t>Damas</t>
  </si>
  <si>
    <t>Moscou</t>
  </si>
  <si>
    <t>Médine</t>
  </si>
  <si>
    <t>La Mecque</t>
  </si>
  <si>
    <t>Ninive</t>
  </si>
  <si>
    <t>Bagdad</t>
  </si>
  <si>
    <t>Ispahan</t>
  </si>
  <si>
    <t>Persépolis</t>
  </si>
  <si>
    <t>Boukhara</t>
  </si>
  <si>
    <t>Samarcande</t>
  </si>
  <si>
    <t>Bénarès</t>
  </si>
  <si>
    <t>Bodh-Gaya</t>
  </si>
  <si>
    <t>Lhassa</t>
  </si>
  <si>
    <t>Pagan</t>
  </si>
  <si>
    <t>Angkor</t>
  </si>
  <si>
    <t>Pékin</t>
  </si>
  <si>
    <t>Kyoto</t>
  </si>
  <si>
    <t>Nara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</si>
</sst>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1.0"/>
      <color theme="1"/>
      <name val="Calibri"/>
      <scheme val="minor"/>
    </font>
    <font>
      <b/>
      <sz val="13.0"/>
      <color theme="1"/>
      <name val="Calibri"/>
      <scheme val="minor"/>
    </font>
    <font>
      <i/>
      <color rgb="FF555555"/>
      <name val="Calibri"/>
      <scheme val="minor"/>
    </font>
    <font>
      <color theme="1"/>
      <name val="Calibri"/>
      <scheme val="minor"/>
    </font>
    <font>
      <b/>
      <color rgb="FFFFFFFF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B2D5C"/>
        <bgColor rgb="FF1B2D5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3" fontId="4" numFmtId="0" xfId="0" applyAlignment="1" applyBorder="1" applyFill="1" applyFont="1">
      <alignment shrinkToFit="0" vertical="center" wrapText="1"/>
    </xf>
    <xf borderId="1" fillId="2" fontId="5" numFmtId="164" xfId="0" applyBorder="1" applyFill="1" applyFont="1" applyNumberFormat="1"/>
    <xf borderId="0" fillId="0" fontId="5" numFmtId="2" xfId="0" applyFont="1" applyNumberFormat="1"/>
    <xf borderId="1" fillId="2" fontId="5" numFmtId="0" xfId="0" applyBorder="1" applyFill="1" applyFon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90.0"/>
    <col customWidth="1" min="4" max="26" width="8.71"/>
  </cols>
  <sheetData>
    <row r="1">
      <c r="A1" s="1" t="s">
        <v>0</v>
      </c>
    </row>
    <row r="2">
      <c r="A2" s="2" t="s">
        <v>4</v>
      </c>
    </row>
    <row r="4">
      <c r="A4" s="3" t="s">
        <v>8</v>
      </c>
      <c r="B4" s="5">
        <v>206.178</v>
      </c>
      <c r="C4" s="3" t="s">
        <v>11</v>
      </c>
    </row>
    <row r="5">
      <c r="A5" s="3" t="s">
        <v>13</v>
      </c>
      <c r="B5" s="6">
        <f>MOD(Phase-203.841+180,360)-180</f>
        <v>2.337</v>
      </c>
    </row>
    <row r="6">
      <c r="A6" s="3" t="s">
        <v>37</v>
      </c>
      <c r="B6" s="7" t="s">
        <v>42</v>
      </c>
      <c r="C6" s="3" t="str">
        <f> entrée. Les colonnes de villes et d'écarts sont valables pour φ = 206,178 seulement.</f>
        <v>#ERROR!</v>
      </c>
    </row>
    <row r="8">
      <c r="A8" s="8" t="s">
        <v>86</v>
      </c>
    </row>
    <row r="9">
      <c r="A9" s="3" t="s">
        <v>93</v>
      </c>
      <c r="B9" s="3" t="s">
        <v>95</v>
      </c>
    </row>
    <row r="10">
      <c r="A10" s="3" t="s">
        <v>96</v>
      </c>
      <c r="B10" s="3" t="s">
        <v>100</v>
      </c>
    </row>
    <row r="11">
      <c r="A11" s="3" t="s">
        <v>103</v>
      </c>
      <c r="B11" s="3" t="s">
        <v>104</v>
      </c>
    </row>
    <row r="12">
      <c r="A12" s="3" t="s">
        <v>105</v>
      </c>
      <c r="B12" s="3" t="s">
        <v>106</v>
      </c>
    </row>
    <row r="13">
      <c r="A13" s="3" t="s">
        <v>107</v>
      </c>
      <c r="B13" s="3" t="s">
        <v>108</v>
      </c>
    </row>
    <row r="14">
      <c r="A14" s="8" t="s">
        <v>111</v>
      </c>
    </row>
    <row r="15">
      <c r="A15" s="3" t="s">
        <v>115</v>
      </c>
      <c r="B15" s="3" t="s">
        <v>117</v>
      </c>
    </row>
    <row r="16">
      <c r="A16" s="3" t="s">
        <v>119</v>
      </c>
      <c r="B16" s="3" t="s">
        <v>120</v>
      </c>
    </row>
    <row r="17">
      <c r="A17" s="3" t="s">
        <v>122</v>
      </c>
      <c r="B17" s="3" t="s">
        <v>123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2.0"/>
    <col customWidth="1" min="2" max="2" width="20.0"/>
    <col customWidth="1" min="3" max="3" width="13.0"/>
    <col customWidth="1" min="4" max="4" width="11.0"/>
    <col customWidth="1" min="5" max="5" width="14.0"/>
    <col customWidth="1" min="6" max="6" width="34.0"/>
    <col customWidth="1" min="7" max="7" width="16.0"/>
    <col customWidth="1" min="8" max="8" width="58.0"/>
    <col customWidth="1" min="9" max="26" width="8.71"/>
  </cols>
  <sheetData>
    <row r="1">
      <c r="A1" s="1" t="s">
        <v>1</v>
      </c>
    </row>
    <row r="2">
      <c r="A2" s="2" t="s">
        <v>7</v>
      </c>
    </row>
    <row r="4">
      <c r="A4" s="4" t="s">
        <v>9</v>
      </c>
      <c r="B4" s="4" t="s">
        <v>10</v>
      </c>
      <c r="C4" s="4" t="s">
        <v>12</v>
      </c>
      <c r="D4" s="4" t="s">
        <v>14</v>
      </c>
      <c r="E4" s="4" t="s">
        <v>15</v>
      </c>
      <c r="F4" s="4" t="s">
        <v>21</v>
      </c>
      <c r="G4" s="4" t="s">
        <v>23</v>
      </c>
      <c r="H4" s="4" t="s">
        <v>25</v>
      </c>
    </row>
    <row r="5">
      <c r="A5" s="3" t="s">
        <v>22</v>
      </c>
      <c r="B5" s="3" t="s">
        <v>28</v>
      </c>
      <c r="C5" s="6">
        <v>37.66</v>
      </c>
      <c r="D5" s="6">
        <v>9.97</v>
      </c>
      <c r="E5" s="6">
        <f>MOD(Phase-C5+180,360)-180</f>
        <v>168.518</v>
      </c>
      <c r="F5" s="3" t="s">
        <v>32</v>
      </c>
      <c r="G5" s="3" t="s">
        <v>33</v>
      </c>
      <c r="H5" s="3" t="s">
        <v>34</v>
      </c>
    </row>
    <row r="6">
      <c r="A6" s="3" t="s">
        <v>35</v>
      </c>
      <c r="B6" s="3" t="s">
        <v>36</v>
      </c>
      <c r="C6" s="6">
        <v>59.99</v>
      </c>
      <c r="D6" s="6">
        <v>4.05</v>
      </c>
      <c r="E6" s="6">
        <f>MOD(Phase-C6+180,360)-180</f>
        <v>146.188</v>
      </c>
      <c r="F6" s="3" t="s">
        <v>38</v>
      </c>
      <c r="G6" s="3" t="s">
        <v>39</v>
      </c>
      <c r="H6" s="3" t="s">
        <v>41</v>
      </c>
    </row>
    <row r="7">
      <c r="A7" s="3" t="s">
        <v>35</v>
      </c>
      <c r="B7" s="3" t="s">
        <v>44</v>
      </c>
      <c r="C7" s="6">
        <v>69.79</v>
      </c>
      <c r="D7" s="6">
        <v>-5.47</v>
      </c>
      <c r="E7" s="6">
        <f>MOD(Phase-C7+180,360)-180</f>
        <v>136.388</v>
      </c>
      <c r="F7" s="3" t="s">
        <v>46</v>
      </c>
      <c r="G7" s="3" t="s">
        <v>47</v>
      </c>
      <c r="H7" s="3" t="s">
        <v>48</v>
      </c>
    </row>
    <row r="8">
      <c r="A8" s="3" t="s">
        <v>35</v>
      </c>
      <c r="B8" s="3" t="s">
        <v>49</v>
      </c>
      <c r="C8" s="6">
        <v>82.57</v>
      </c>
      <c r="D8" s="6">
        <v>5.39</v>
      </c>
      <c r="E8" s="6">
        <f>MOD(Phase-C8+180,360)-180</f>
        <v>123.608</v>
      </c>
      <c r="F8" s="3" t="s">
        <v>50</v>
      </c>
      <c r="G8" s="3" t="s">
        <v>51</v>
      </c>
      <c r="H8" s="3" t="s">
        <v>52</v>
      </c>
    </row>
    <row r="9">
      <c r="A9" s="3" t="s">
        <v>53</v>
      </c>
      <c r="B9" s="3" t="s">
        <v>54</v>
      </c>
      <c r="C9" s="6">
        <v>110.24</v>
      </c>
      <c r="D9" s="6">
        <v>10.1</v>
      </c>
      <c r="E9" s="6">
        <f>MOD(Phase-C9+180,360)-180</f>
        <v>95.938</v>
      </c>
      <c r="F9" s="3" t="s">
        <v>55</v>
      </c>
      <c r="G9" s="3" t="s">
        <v>56</v>
      </c>
      <c r="H9" s="3" t="s">
        <v>57</v>
      </c>
    </row>
    <row r="10">
      <c r="A10" s="3" t="s">
        <v>53</v>
      </c>
      <c r="B10" s="3" t="s">
        <v>60</v>
      </c>
      <c r="C10" s="6">
        <v>113.22</v>
      </c>
      <c r="D10" s="6">
        <v>6.68</v>
      </c>
      <c r="E10" s="6">
        <f>MOD(Phase-C10+180,360)-180</f>
        <v>92.958</v>
      </c>
      <c r="F10" s="3" t="s">
        <v>61</v>
      </c>
      <c r="G10" s="3" t="s">
        <v>62</v>
      </c>
      <c r="H10" s="3" t="s">
        <v>34</v>
      </c>
    </row>
    <row r="11">
      <c r="A11" s="3" t="s">
        <v>63</v>
      </c>
      <c r="B11" s="3" t="s">
        <v>64</v>
      </c>
      <c r="C11" s="6">
        <v>128.72</v>
      </c>
      <c r="D11" s="6">
        <v>0.08</v>
      </c>
      <c r="E11" s="6">
        <f>MOD(Phase-C11+180,360)-180</f>
        <v>77.458</v>
      </c>
      <c r="F11" s="3" t="s">
        <v>67</v>
      </c>
      <c r="G11" s="3" t="s">
        <v>68</v>
      </c>
      <c r="H11" s="3" t="s">
        <v>70</v>
      </c>
    </row>
    <row r="12">
      <c r="A12" s="3" t="s">
        <v>63</v>
      </c>
      <c r="B12" s="3" t="s">
        <v>71</v>
      </c>
      <c r="C12" s="6">
        <v>133.64</v>
      </c>
      <c r="D12" s="6">
        <v>-5.08</v>
      </c>
      <c r="E12" s="6">
        <f>MOD(Phase-C12+180,360)-180</f>
        <v>72.538</v>
      </c>
      <c r="F12" s="3" t="s">
        <v>72</v>
      </c>
      <c r="G12" s="3" t="s">
        <v>73</v>
      </c>
      <c r="H12" s="3" t="s">
        <v>70</v>
      </c>
    </row>
    <row r="13">
      <c r="A13" s="3" t="s">
        <v>74</v>
      </c>
      <c r="B13" s="3" t="s">
        <v>75</v>
      </c>
      <c r="C13" s="6">
        <v>149.83</v>
      </c>
      <c r="D13" s="6">
        <v>0.46</v>
      </c>
      <c r="E13" s="6">
        <f>MOD(Phase-C13+180,360)-180</f>
        <v>56.348</v>
      </c>
      <c r="F13" s="3" t="s">
        <v>77</v>
      </c>
      <c r="G13" s="3" t="s">
        <v>79</v>
      </c>
      <c r="H13" s="3" t="s">
        <v>80</v>
      </c>
    </row>
    <row r="14">
      <c r="A14" s="3" t="s">
        <v>74</v>
      </c>
      <c r="B14" s="3" t="s">
        <v>81</v>
      </c>
      <c r="C14" s="6">
        <v>149.62</v>
      </c>
      <c r="D14" s="6">
        <v>8.81</v>
      </c>
      <c r="E14" s="6">
        <f>MOD(Phase-C14+180,360)-180</f>
        <v>56.558</v>
      </c>
      <c r="F14" s="3" t="s">
        <v>77</v>
      </c>
      <c r="G14" s="3" t="s">
        <v>83</v>
      </c>
      <c r="H14" s="3" t="s">
        <v>84</v>
      </c>
    </row>
    <row r="15">
      <c r="A15" s="3" t="s">
        <v>74</v>
      </c>
      <c r="B15" s="3" t="s">
        <v>85</v>
      </c>
      <c r="C15" s="6">
        <v>171.62</v>
      </c>
      <c r="D15" s="6">
        <v>12.27</v>
      </c>
      <c r="E15" s="6">
        <f>MOD(Phase-C15+180,360)-180</f>
        <v>34.558</v>
      </c>
      <c r="F15" s="3" t="s">
        <v>87</v>
      </c>
      <c r="G15" s="3" t="s">
        <v>88</v>
      </c>
      <c r="H15" s="3" t="s">
        <v>89</v>
      </c>
    </row>
    <row r="16">
      <c r="A16" s="3" t="s">
        <v>90</v>
      </c>
      <c r="B16" s="3" t="s">
        <v>91</v>
      </c>
      <c r="C16" s="6">
        <v>189.94</v>
      </c>
      <c r="D16" s="6">
        <v>16.2</v>
      </c>
      <c r="E16" s="6">
        <f>MOD(Phase-C16+180,360)-180</f>
        <v>16.238</v>
      </c>
      <c r="F16" s="3" t="s">
        <v>98</v>
      </c>
      <c r="G16" s="3" t="s">
        <v>99</v>
      </c>
      <c r="H16" s="3" t="s">
        <v>101</v>
      </c>
    </row>
    <row r="17">
      <c r="A17" s="3" t="s">
        <v>90</v>
      </c>
      <c r="B17" s="3" t="s">
        <v>102</v>
      </c>
      <c r="C17" s="6">
        <v>203.84</v>
      </c>
      <c r="D17" s="6">
        <v>-2.05</v>
      </c>
      <c r="E17" s="6">
        <f>MOD(Phase-C17+180,360)-180</f>
        <v>2.338</v>
      </c>
      <c r="F17" s="3" t="s">
        <v>109</v>
      </c>
      <c r="G17" s="3" t="s">
        <v>110</v>
      </c>
      <c r="H17" s="3" t="s">
        <v>112</v>
      </c>
    </row>
    <row r="18">
      <c r="A18" s="3" t="s">
        <v>113</v>
      </c>
      <c r="B18" s="3" t="s">
        <v>114</v>
      </c>
      <c r="C18" s="6">
        <v>225.08</v>
      </c>
      <c r="D18" s="6">
        <v>0.33</v>
      </c>
      <c r="E18" s="6">
        <f>MOD(Phase-C18+180,360)-180</f>
        <v>-18.902</v>
      </c>
      <c r="F18" s="3" t="s">
        <v>124</v>
      </c>
      <c r="G18" s="3" t="s">
        <v>125</v>
      </c>
      <c r="H18" s="3" t="s">
        <v>34</v>
      </c>
    </row>
    <row r="19">
      <c r="A19" s="3" t="s">
        <v>113</v>
      </c>
      <c r="B19" s="3" t="s">
        <v>126</v>
      </c>
      <c r="C19" s="6">
        <v>229.37</v>
      </c>
      <c r="D19" s="6">
        <v>8.5</v>
      </c>
      <c r="E19" s="6">
        <f>MOD(Phase-C19+180,360)-180</f>
        <v>-23.192</v>
      </c>
      <c r="F19" s="3" t="s">
        <v>128</v>
      </c>
      <c r="G19" s="3" t="s">
        <v>129</v>
      </c>
      <c r="H19" s="3" t="s">
        <v>34</v>
      </c>
    </row>
    <row r="20">
      <c r="A20" s="3" t="s">
        <v>131</v>
      </c>
      <c r="B20" s="3" t="s">
        <v>132</v>
      </c>
      <c r="C20" s="6">
        <v>249.76</v>
      </c>
      <c r="D20" s="6">
        <v>-4.57</v>
      </c>
      <c r="E20" s="6">
        <f>MOD(Phase-C20+180,360)-180</f>
        <v>-43.582</v>
      </c>
      <c r="F20" s="3" t="s">
        <v>134</v>
      </c>
      <c r="G20" s="3" t="s">
        <v>135</v>
      </c>
      <c r="H20" s="3" t="s">
        <v>136</v>
      </c>
    </row>
    <row r="21" ht="15.75" customHeight="1">
      <c r="A21" s="3" t="s">
        <v>131</v>
      </c>
      <c r="B21" s="3" t="s">
        <v>137</v>
      </c>
      <c r="C21" s="6">
        <v>264.59</v>
      </c>
      <c r="D21" s="6">
        <v>-13.79</v>
      </c>
      <c r="E21" s="6">
        <f>MOD(Phase-C21+180,360)-180</f>
        <v>-58.412</v>
      </c>
      <c r="F21" s="3" t="s">
        <v>140</v>
      </c>
      <c r="G21" s="3" t="s">
        <v>62</v>
      </c>
      <c r="H21" s="3" t="s">
        <v>70</v>
      </c>
    </row>
    <row r="22" ht="15.75" customHeight="1">
      <c r="A22" s="3" t="s">
        <v>141</v>
      </c>
      <c r="B22" s="3" t="s">
        <v>142</v>
      </c>
      <c r="C22" s="6">
        <v>257.97</v>
      </c>
      <c r="D22" s="6">
        <v>7.2</v>
      </c>
      <c r="E22" s="6">
        <f>MOD(Phase-C22+180,360)-180</f>
        <v>-51.792</v>
      </c>
      <c r="F22" s="3" t="s">
        <v>144</v>
      </c>
      <c r="G22" s="3" t="s">
        <v>145</v>
      </c>
      <c r="H22" s="3" t="s">
        <v>34</v>
      </c>
    </row>
    <row r="23" ht="15.75" customHeight="1">
      <c r="A23" s="3" t="s">
        <v>141</v>
      </c>
      <c r="B23" s="3" t="s">
        <v>146</v>
      </c>
      <c r="C23" s="6">
        <v>262.45</v>
      </c>
      <c r="D23" s="6">
        <v>35.84</v>
      </c>
      <c r="E23" s="6">
        <f>MOD(Phase-C23+180,360)-180</f>
        <v>-56.272</v>
      </c>
      <c r="F23" s="3" t="s">
        <v>148</v>
      </c>
      <c r="G23" s="3" t="s">
        <v>79</v>
      </c>
      <c r="H23" s="3" t="s">
        <v>34</v>
      </c>
    </row>
    <row r="24" ht="15.75" customHeight="1">
      <c r="A24" s="3" t="s">
        <v>149</v>
      </c>
      <c r="B24" s="3" t="s">
        <v>150</v>
      </c>
      <c r="C24" s="6">
        <v>275.08</v>
      </c>
      <c r="D24" s="6">
        <v>-11.05</v>
      </c>
      <c r="E24" s="6">
        <f>MOD(Phase-C24+180,360)-180</f>
        <v>-68.902</v>
      </c>
      <c r="F24" s="3" t="s">
        <v>154</v>
      </c>
      <c r="G24" s="3" t="s">
        <v>155</v>
      </c>
      <c r="H24" s="3" t="s">
        <v>34</v>
      </c>
    </row>
    <row r="25" ht="15.75" customHeight="1">
      <c r="A25" s="3" t="s">
        <v>149</v>
      </c>
      <c r="B25" s="3" t="s">
        <v>156</v>
      </c>
      <c r="C25" s="6">
        <v>282.39</v>
      </c>
      <c r="D25" s="6">
        <v>-3.45</v>
      </c>
      <c r="E25" s="6">
        <f>MOD(Phase-C25+180,360)-180</f>
        <v>-76.212</v>
      </c>
      <c r="F25" s="3" t="s">
        <v>157</v>
      </c>
      <c r="G25" s="3" t="s">
        <v>158</v>
      </c>
      <c r="H25" s="3" t="s">
        <v>34</v>
      </c>
    </row>
    <row r="26" ht="15.75" customHeight="1">
      <c r="A26" s="3" t="s">
        <v>159</v>
      </c>
      <c r="B26" s="3" t="s">
        <v>160</v>
      </c>
      <c r="C26" s="6">
        <v>304.05</v>
      </c>
      <c r="D26" s="6">
        <v>4.59</v>
      </c>
      <c r="E26" s="6">
        <f>MOD(Phase-C26+180,360)-180</f>
        <v>-97.872</v>
      </c>
      <c r="F26" s="3" t="s">
        <v>163</v>
      </c>
      <c r="G26" s="3" t="s">
        <v>164</v>
      </c>
      <c r="H26" s="3" t="s">
        <v>52</v>
      </c>
    </row>
    <row r="27" ht="15.75" customHeight="1">
      <c r="A27" s="3" t="s">
        <v>159</v>
      </c>
      <c r="B27" s="3" t="s">
        <v>165</v>
      </c>
      <c r="C27" s="6">
        <v>323.54</v>
      </c>
      <c r="D27" s="6">
        <v>-2.6</v>
      </c>
      <c r="E27" s="6">
        <f>MOD(Phase-C27+180,360)-180</f>
        <v>-117.362</v>
      </c>
      <c r="F27" s="3" t="s">
        <v>166</v>
      </c>
      <c r="G27" s="3" t="s">
        <v>167</v>
      </c>
      <c r="H27" s="3" t="s">
        <v>169</v>
      </c>
    </row>
    <row r="28" ht="15.75" customHeight="1">
      <c r="A28" s="3" t="s">
        <v>171</v>
      </c>
      <c r="B28" s="3" t="s">
        <v>172</v>
      </c>
      <c r="C28" s="6">
        <v>323.4</v>
      </c>
      <c r="D28" s="6">
        <v>8.62</v>
      </c>
      <c r="E28" s="6">
        <f>MOD(Phase-C28+180,360)-180</f>
        <v>-117.222</v>
      </c>
      <c r="F28" s="3" t="s">
        <v>166</v>
      </c>
      <c r="G28" s="3" t="s">
        <v>174</v>
      </c>
      <c r="H28" s="3" t="s">
        <v>175</v>
      </c>
    </row>
    <row r="29" ht="15.75" customHeight="1">
      <c r="A29" s="3" t="s">
        <v>171</v>
      </c>
      <c r="B29" s="3" t="s">
        <v>177</v>
      </c>
      <c r="C29" s="6">
        <v>333.35</v>
      </c>
      <c r="D29" s="6">
        <v>10.66</v>
      </c>
      <c r="E29" s="6">
        <f>MOD(Phase-C29+180,360)-180</f>
        <v>-127.172</v>
      </c>
      <c r="F29" s="3" t="s">
        <v>179</v>
      </c>
      <c r="G29" s="3" t="s">
        <v>125</v>
      </c>
      <c r="H29" s="3" t="s">
        <v>180</v>
      </c>
    </row>
    <row r="30" ht="15.75" customHeight="1">
      <c r="A30" s="3" t="s">
        <v>58</v>
      </c>
      <c r="B30" s="3" t="s">
        <v>181</v>
      </c>
      <c r="C30" s="6">
        <v>26.82</v>
      </c>
      <c r="D30" s="6">
        <v>5.38</v>
      </c>
      <c r="E30" s="6">
        <f>MOD(Phase-C30+180,360)-180</f>
        <v>179.358</v>
      </c>
      <c r="F30" s="3" t="s">
        <v>183</v>
      </c>
      <c r="G30" s="3" t="s">
        <v>184</v>
      </c>
      <c r="H30" s="3" t="s">
        <v>185</v>
      </c>
    </row>
    <row r="31" ht="15.75" customHeight="1">
      <c r="A31" s="3" t="s">
        <v>58</v>
      </c>
      <c r="B31" s="3" t="s">
        <v>186</v>
      </c>
      <c r="C31" s="6">
        <v>29.38</v>
      </c>
      <c r="D31" s="6">
        <v>-9.06</v>
      </c>
      <c r="E31" s="6">
        <f>MOD(Phase-C31+180,360)-180</f>
        <v>176.798</v>
      </c>
      <c r="F31" s="3" t="s">
        <v>183</v>
      </c>
      <c r="G31" s="3" t="s">
        <v>190</v>
      </c>
      <c r="H31" s="3" t="s">
        <v>191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1.0"/>
    <col customWidth="1" min="2" max="2" width="24.0"/>
    <col customWidth="1" min="3" max="3" width="13.0"/>
    <col customWidth="1" min="4" max="4" width="11.0"/>
    <col customWidth="1" min="5" max="5" width="14.0"/>
    <col customWidth="1" min="6" max="7" width="12.0"/>
    <col customWidth="1" min="8" max="8" width="30.0"/>
    <col customWidth="1" min="9" max="9" width="9.0"/>
    <col customWidth="1" min="10" max="10" width="22.0"/>
    <col customWidth="1" min="11" max="11" width="9.0"/>
    <col customWidth="1" min="12" max="26" width="8.71"/>
  </cols>
  <sheetData>
    <row r="1">
      <c r="A1" s="1" t="s">
        <v>3</v>
      </c>
    </row>
    <row r="2">
      <c r="A2" s="2" t="s">
        <v>6</v>
      </c>
    </row>
    <row r="4">
      <c r="A4" s="4" t="s">
        <v>9</v>
      </c>
      <c r="B4" s="4" t="s">
        <v>10</v>
      </c>
      <c r="C4" s="4" t="s">
        <v>12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19</v>
      </c>
    </row>
    <row r="5">
      <c r="A5" s="3" t="s">
        <v>22</v>
      </c>
      <c r="B5" s="3" t="s">
        <v>26</v>
      </c>
      <c r="C5" s="6">
        <v>33.18</v>
      </c>
      <c r="D5" s="6">
        <v>7.16</v>
      </c>
      <c r="E5" s="6">
        <f>MOD(Phase-C5+180,360)-180</f>
        <v>172.998</v>
      </c>
      <c r="F5" s="6">
        <v>33.8</v>
      </c>
      <c r="G5" s="6">
        <f t="shared" ref="G5:G22" si="1">F5-C5</f>
        <v>0.62</v>
      </c>
      <c r="H5" s="3" t="s">
        <v>40</v>
      </c>
      <c r="I5" s="6">
        <v>1.77</v>
      </c>
      <c r="J5" s="3" t="s">
        <v>43</v>
      </c>
      <c r="K5" s="6">
        <v>36.26</v>
      </c>
    </row>
    <row r="6">
      <c r="A6" s="3" t="s">
        <v>22</v>
      </c>
      <c r="B6" s="3" t="s">
        <v>45</v>
      </c>
      <c r="C6" s="6">
        <v>33.97</v>
      </c>
      <c r="D6" s="6">
        <v>8.49</v>
      </c>
      <c r="E6" s="6">
        <f>MOD(Phase-C6+180,360)-180</f>
        <v>172.208</v>
      </c>
      <c r="F6" s="6">
        <v>34.5</v>
      </c>
      <c r="G6" s="6">
        <f t="shared" si="1"/>
        <v>0.53</v>
      </c>
      <c r="H6" s="3" t="s">
        <v>40</v>
      </c>
      <c r="I6" s="6">
        <v>2.56</v>
      </c>
      <c r="J6" s="3" t="s">
        <v>43</v>
      </c>
      <c r="K6" s="6">
        <v>35.48</v>
      </c>
    </row>
    <row r="7">
      <c r="A7" s="3" t="s">
        <v>58</v>
      </c>
      <c r="B7" s="3" t="s">
        <v>59</v>
      </c>
      <c r="C7" s="6">
        <v>348.59</v>
      </c>
      <c r="D7" s="6">
        <v>9.05</v>
      </c>
      <c r="E7" s="6">
        <f>MOD(Phase-C7+180,360)-180</f>
        <v>-142.412</v>
      </c>
      <c r="F7" s="6">
        <v>21.5</v>
      </c>
      <c r="G7" s="6">
        <f t="shared" si="1"/>
        <v>-327.09</v>
      </c>
      <c r="H7" s="3" t="s">
        <v>65</v>
      </c>
      <c r="I7" s="6">
        <v>19.29</v>
      </c>
      <c r="J7" s="3" t="s">
        <v>66</v>
      </c>
      <c r="K7" s="6">
        <v>43.28</v>
      </c>
    </row>
    <row r="8">
      <c r="A8" s="3" t="s">
        <v>53</v>
      </c>
      <c r="B8" s="3" t="s">
        <v>69</v>
      </c>
      <c r="C8" s="6">
        <v>99.1</v>
      </c>
      <c r="D8" s="6">
        <v>-6.74</v>
      </c>
      <c r="E8" s="6">
        <f>MOD(Phase-C8+180,360)-180</f>
        <v>107.078</v>
      </c>
      <c r="F8" s="6">
        <v>108.5</v>
      </c>
      <c r="G8" s="6">
        <f t="shared" si="1"/>
        <v>9.4</v>
      </c>
      <c r="H8" s="3" t="s">
        <v>76</v>
      </c>
      <c r="I8" s="6">
        <v>0.05</v>
      </c>
      <c r="J8" s="3" t="s">
        <v>78</v>
      </c>
      <c r="K8" s="6">
        <v>1.87</v>
      </c>
    </row>
    <row r="9">
      <c r="A9" s="3" t="s">
        <v>63</v>
      </c>
      <c r="B9" s="3" t="s">
        <v>82</v>
      </c>
      <c r="C9" s="6">
        <v>127.54</v>
      </c>
      <c r="D9" s="6">
        <v>3.19</v>
      </c>
      <c r="E9" s="6">
        <f>MOD(Phase-C9+180,360)-180</f>
        <v>78.638</v>
      </c>
      <c r="F9" s="6">
        <v>127.8</v>
      </c>
      <c r="G9" s="6">
        <f t="shared" si="1"/>
        <v>0.26</v>
      </c>
      <c r="H9" s="3" t="s">
        <v>92</v>
      </c>
      <c r="I9" s="6">
        <v>0.06</v>
      </c>
      <c r="J9" s="3" t="s">
        <v>94</v>
      </c>
      <c r="K9" s="6">
        <v>1.43</v>
      </c>
    </row>
    <row r="10">
      <c r="A10" s="3" t="s">
        <v>74</v>
      </c>
      <c r="B10" s="3" t="s">
        <v>97</v>
      </c>
      <c r="C10" s="6">
        <v>161.32</v>
      </c>
      <c r="D10" s="6">
        <v>14.33</v>
      </c>
      <c r="E10" s="6">
        <f>MOD(Phase-C10+180,360)-180</f>
        <v>44.858</v>
      </c>
      <c r="F10" s="6">
        <v>162.5</v>
      </c>
      <c r="G10" s="6">
        <f t="shared" si="1"/>
        <v>1.18</v>
      </c>
      <c r="H10" s="3" t="s">
        <v>116</v>
      </c>
      <c r="I10" s="6">
        <v>0.03</v>
      </c>
      <c r="J10" s="3" t="s">
        <v>118</v>
      </c>
      <c r="K10" s="6">
        <v>0.44</v>
      </c>
    </row>
    <row r="11">
      <c r="A11" s="3" t="s">
        <v>90</v>
      </c>
      <c r="B11" s="3" t="s">
        <v>121</v>
      </c>
      <c r="C11" s="6">
        <v>177.16</v>
      </c>
      <c r="D11" s="6">
        <v>0.69</v>
      </c>
      <c r="E11" s="6">
        <f>MOD(Phase-C11+180,360)-180</f>
        <v>29.018</v>
      </c>
      <c r="F11" s="6">
        <v>186.5</v>
      </c>
      <c r="G11" s="6">
        <f t="shared" si="1"/>
        <v>9.34</v>
      </c>
      <c r="H11" s="3" t="s">
        <v>127</v>
      </c>
      <c r="I11" s="6">
        <v>0.0</v>
      </c>
      <c r="J11" s="3" t="s">
        <v>130</v>
      </c>
      <c r="K11" s="6">
        <v>0.03</v>
      </c>
    </row>
    <row r="12">
      <c r="A12" s="3" t="s">
        <v>90</v>
      </c>
      <c r="B12" s="3" t="s">
        <v>133</v>
      </c>
      <c r="C12" s="6">
        <v>190.14</v>
      </c>
      <c r="D12" s="6">
        <v>2.79</v>
      </c>
      <c r="E12" s="6">
        <f>MOD(Phase-C12+180,360)-180</f>
        <v>16.038</v>
      </c>
      <c r="F12" s="6">
        <v>185.2</v>
      </c>
      <c r="G12" s="6">
        <f t="shared" si="1"/>
        <v>-4.94</v>
      </c>
      <c r="H12" s="3" t="s">
        <v>138</v>
      </c>
      <c r="I12" s="6">
        <v>0.06</v>
      </c>
      <c r="J12" s="3" t="s">
        <v>98</v>
      </c>
      <c r="K12" s="6">
        <v>0.33</v>
      </c>
    </row>
    <row r="13">
      <c r="A13" s="3" t="s">
        <v>90</v>
      </c>
      <c r="B13" s="3" t="s">
        <v>139</v>
      </c>
      <c r="C13" s="6">
        <v>191.46</v>
      </c>
      <c r="D13" s="6">
        <v>8.61</v>
      </c>
      <c r="E13" s="6">
        <f>MOD(Phase-C13+180,360)-180</f>
        <v>14.718</v>
      </c>
      <c r="F13" s="6">
        <v>198.5</v>
      </c>
      <c r="G13" s="6">
        <f t="shared" si="1"/>
        <v>7.04</v>
      </c>
      <c r="H13" s="3" t="s">
        <v>143</v>
      </c>
      <c r="I13" s="6">
        <v>0.3</v>
      </c>
      <c r="J13" s="3" t="s">
        <v>98</v>
      </c>
      <c r="K13" s="6">
        <v>1.65</v>
      </c>
    </row>
    <row r="14">
      <c r="A14" s="3" t="s">
        <v>113</v>
      </c>
      <c r="B14" s="3" t="s">
        <v>147</v>
      </c>
      <c r="C14" s="6">
        <v>235.14</v>
      </c>
      <c r="D14" s="6">
        <v>4.39</v>
      </c>
      <c r="E14" s="6">
        <f>MOD(Phase-C14+180,360)-180</f>
        <v>-28.962</v>
      </c>
      <c r="F14" s="6">
        <v>233.88</v>
      </c>
      <c r="G14" s="6">
        <f t="shared" si="1"/>
        <v>-1.26</v>
      </c>
      <c r="H14" s="3" t="s">
        <v>151</v>
      </c>
      <c r="I14" s="6">
        <v>5.9</v>
      </c>
      <c r="J14" s="3" t="s">
        <v>152</v>
      </c>
      <c r="K14" s="6">
        <v>20.42</v>
      </c>
    </row>
    <row r="15">
      <c r="A15" s="3" t="s">
        <v>131</v>
      </c>
      <c r="B15" s="3" t="s">
        <v>153</v>
      </c>
      <c r="C15" s="6">
        <v>242.57</v>
      </c>
      <c r="D15" s="6">
        <v>-1.99</v>
      </c>
      <c r="E15" s="6">
        <f>MOD(Phase-C15+180,360)-180</f>
        <v>-36.392</v>
      </c>
      <c r="F15" s="6">
        <v>240.2</v>
      </c>
      <c r="G15" s="6">
        <f t="shared" si="1"/>
        <v>-2.37</v>
      </c>
      <c r="H15" s="3" t="s">
        <v>161</v>
      </c>
      <c r="I15" s="6">
        <v>0.66</v>
      </c>
      <c r="J15" s="3" t="s">
        <v>152</v>
      </c>
      <c r="K15" s="6">
        <v>27.85</v>
      </c>
    </row>
    <row r="16">
      <c r="A16" s="3" t="s">
        <v>141</v>
      </c>
      <c r="B16" s="3" t="s">
        <v>162</v>
      </c>
      <c r="C16" s="6">
        <v>265.34</v>
      </c>
      <c r="D16" s="6">
        <v>27.94</v>
      </c>
      <c r="E16" s="6">
        <f>MOD(Phase-C16+180,360)-180</f>
        <v>-59.162</v>
      </c>
      <c r="F16" s="6">
        <v>260.3</v>
      </c>
      <c r="G16" s="6">
        <f t="shared" si="1"/>
        <v>-5.04</v>
      </c>
      <c r="H16" s="3" t="s">
        <v>140</v>
      </c>
      <c r="I16" s="6">
        <v>0.78</v>
      </c>
      <c r="J16" s="3" t="s">
        <v>168</v>
      </c>
      <c r="K16" s="6">
        <v>12.81</v>
      </c>
    </row>
    <row r="17">
      <c r="A17" s="3" t="s">
        <v>131</v>
      </c>
      <c r="B17" s="3" t="s">
        <v>170</v>
      </c>
      <c r="C17" s="6">
        <v>265.6</v>
      </c>
      <c r="D17" s="6">
        <v>-19.65</v>
      </c>
      <c r="E17" s="6">
        <f>MOD(Phase-C17+180,360)-180</f>
        <v>-59.422</v>
      </c>
      <c r="F17" s="6">
        <v>261.5</v>
      </c>
      <c r="G17" s="6">
        <f t="shared" si="1"/>
        <v>-4.1</v>
      </c>
      <c r="H17" s="3" t="s">
        <v>173</v>
      </c>
      <c r="I17" s="6">
        <v>0.6</v>
      </c>
      <c r="J17" s="3" t="s">
        <v>168</v>
      </c>
      <c r="K17" s="6">
        <v>12.55</v>
      </c>
    </row>
    <row r="18">
      <c r="A18" s="3" t="s">
        <v>149</v>
      </c>
      <c r="B18" s="3" t="s">
        <v>176</v>
      </c>
      <c r="C18" s="6">
        <v>276.32</v>
      </c>
      <c r="D18" s="6">
        <v>-2.14</v>
      </c>
      <c r="E18" s="6">
        <f>MOD(Phase-C18+180,360)-180</f>
        <v>-70.142</v>
      </c>
      <c r="F18" s="6">
        <v>280.2</v>
      </c>
      <c r="G18" s="6">
        <f t="shared" si="1"/>
        <v>3.88</v>
      </c>
      <c r="H18" s="3" t="s">
        <v>178</v>
      </c>
      <c r="I18" s="6">
        <v>0.14</v>
      </c>
      <c r="J18" s="3" t="s">
        <v>168</v>
      </c>
      <c r="K18" s="6">
        <v>1.83</v>
      </c>
    </row>
    <row r="19">
      <c r="A19" s="3" t="s">
        <v>149</v>
      </c>
      <c r="B19" s="3" t="s">
        <v>182</v>
      </c>
      <c r="C19" s="6">
        <v>283.64</v>
      </c>
      <c r="D19" s="6">
        <v>-7.18</v>
      </c>
      <c r="E19" s="6">
        <f>MOD(Phase-C19+180,360)-180</f>
        <v>-77.462</v>
      </c>
      <c r="F19" s="6">
        <v>291.2</v>
      </c>
      <c r="G19" s="6">
        <f t="shared" si="1"/>
        <v>7.56</v>
      </c>
      <c r="H19" s="3" t="s">
        <v>187</v>
      </c>
      <c r="I19" s="6">
        <v>0.33</v>
      </c>
      <c r="J19" s="3" t="s">
        <v>188</v>
      </c>
      <c r="K19" s="6">
        <v>0.42</v>
      </c>
    </row>
    <row r="20">
      <c r="A20" s="3" t="s">
        <v>159</v>
      </c>
      <c r="B20" s="3" t="s">
        <v>189</v>
      </c>
      <c r="C20" s="6">
        <v>321.79</v>
      </c>
      <c r="D20" s="6">
        <v>-2.56</v>
      </c>
      <c r="E20" s="6">
        <f>MOD(Phase-C20+180,360)-180</f>
        <v>-115.612</v>
      </c>
      <c r="F20" s="6">
        <v>307.5</v>
      </c>
      <c r="G20" s="6">
        <f t="shared" si="1"/>
        <v>-14.29</v>
      </c>
      <c r="H20" s="3" t="s">
        <v>192</v>
      </c>
      <c r="I20" s="6">
        <v>0.16</v>
      </c>
      <c r="J20" s="3" t="s">
        <v>66</v>
      </c>
      <c r="K20" s="6">
        <v>16.48</v>
      </c>
    </row>
    <row r="21" ht="15.75" customHeight="1">
      <c r="A21" s="3" t="s">
        <v>171</v>
      </c>
      <c r="B21" s="3" t="s">
        <v>193</v>
      </c>
      <c r="C21" s="6">
        <v>336.71</v>
      </c>
      <c r="D21" s="6">
        <v>8.24</v>
      </c>
      <c r="E21" s="6">
        <f>MOD(Phase-C21+180,360)-180</f>
        <v>-130.532</v>
      </c>
      <c r="F21" s="6">
        <v>318.5</v>
      </c>
      <c r="G21" s="6">
        <f t="shared" si="1"/>
        <v>-18.21</v>
      </c>
      <c r="H21" s="3" t="s">
        <v>65</v>
      </c>
      <c r="I21" s="6">
        <v>7.42</v>
      </c>
      <c r="J21" s="3" t="s">
        <v>66</v>
      </c>
      <c r="K21" s="6">
        <v>31.41</v>
      </c>
    </row>
    <row r="22" ht="15.75" customHeight="1">
      <c r="A22" s="3" t="s">
        <v>171</v>
      </c>
      <c r="B22" s="3" t="s">
        <v>194</v>
      </c>
      <c r="C22" s="6">
        <v>338.87</v>
      </c>
      <c r="D22" s="6">
        <v>-8.19</v>
      </c>
      <c r="E22" s="6">
        <f>MOD(Phase-C22+180,360)-180</f>
        <v>-132.692</v>
      </c>
      <c r="F22" s="6">
        <v>326.0</v>
      </c>
      <c r="G22" s="6">
        <f t="shared" si="1"/>
        <v>-12.87</v>
      </c>
      <c r="H22" s="3" t="s">
        <v>65</v>
      </c>
      <c r="I22" s="6">
        <v>9.58</v>
      </c>
      <c r="J22" s="3" t="s">
        <v>66</v>
      </c>
      <c r="K22" s="6">
        <v>33.57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2.0"/>
    <col customWidth="1" min="2" max="4" width="11.0"/>
    <col customWidth="1" min="5" max="6" width="16.0"/>
    <col customWidth="1" min="7" max="26" width="8.71"/>
  </cols>
  <sheetData>
    <row r="1">
      <c r="A1" s="1" t="s">
        <v>2</v>
      </c>
    </row>
    <row r="2">
      <c r="A2" s="2" t="s">
        <v>5</v>
      </c>
    </row>
    <row r="4">
      <c r="A4" s="4" t="s">
        <v>9</v>
      </c>
      <c r="B4" s="4" t="s">
        <v>24</v>
      </c>
      <c r="C4" s="4" t="s">
        <v>27</v>
      </c>
      <c r="D4" s="4" t="s">
        <v>29</v>
      </c>
      <c r="E4" s="4" t="s">
        <v>30</v>
      </c>
      <c r="F4" s="4" t="s">
        <v>31</v>
      </c>
    </row>
    <row r="5">
      <c r="A5" s="3" t="s">
        <v>22</v>
      </c>
      <c r="B5" s="6">
        <v>29.09</v>
      </c>
      <c r="C5" s="6">
        <v>53.47</v>
      </c>
      <c r="D5" s="6">
        <f t="shared" ref="D5:D17" si="1">C5-B5</f>
        <v>24.38</v>
      </c>
      <c r="E5" s="6">
        <f>MOD(Phase-C5+180,360)-180</f>
        <v>152.708</v>
      </c>
      <c r="F5" s="6">
        <f>MOD(Phase-B5+180,360)-180</f>
        <v>177.088</v>
      </c>
    </row>
    <row r="6">
      <c r="A6" s="3" t="s">
        <v>35</v>
      </c>
      <c r="B6" s="6">
        <v>53.47</v>
      </c>
      <c r="C6" s="6">
        <v>90.43</v>
      </c>
      <c r="D6" s="6">
        <f t="shared" si="1"/>
        <v>36.96</v>
      </c>
      <c r="E6" s="6">
        <f>MOD(Phase-C6+180,360)-180</f>
        <v>115.748</v>
      </c>
      <c r="F6" s="6">
        <f>MOD(Phase-B6+180,360)-180</f>
        <v>152.708</v>
      </c>
    </row>
    <row r="7">
      <c r="A7" s="3" t="s">
        <v>53</v>
      </c>
      <c r="B7" s="6">
        <v>90.43</v>
      </c>
      <c r="C7" s="6">
        <v>118.26</v>
      </c>
      <c r="D7" s="6">
        <f t="shared" si="1"/>
        <v>27.83</v>
      </c>
      <c r="E7" s="6">
        <f>MOD(Phase-C7+180,360)-180</f>
        <v>87.918</v>
      </c>
      <c r="F7" s="6">
        <f>MOD(Phase-B7+180,360)-180</f>
        <v>115.748</v>
      </c>
    </row>
    <row r="8">
      <c r="A8" s="3" t="s">
        <v>63</v>
      </c>
      <c r="B8" s="6">
        <v>118.26</v>
      </c>
      <c r="C8" s="6">
        <v>138.18</v>
      </c>
      <c r="D8" s="6">
        <f t="shared" si="1"/>
        <v>19.92</v>
      </c>
      <c r="E8" s="6">
        <f>MOD(Phase-C8+180,360)-180</f>
        <v>67.998</v>
      </c>
      <c r="F8" s="6">
        <f>MOD(Phase-B8+180,360)-180</f>
        <v>87.918</v>
      </c>
    </row>
    <row r="9">
      <c r="A9" s="3" t="s">
        <v>74</v>
      </c>
      <c r="B9" s="6">
        <v>138.18</v>
      </c>
      <c r="C9" s="6">
        <v>174.15</v>
      </c>
      <c r="D9" s="6">
        <f t="shared" si="1"/>
        <v>35.97</v>
      </c>
      <c r="E9" s="6">
        <f>MOD(Phase-C9+180,360)-180</f>
        <v>32.028</v>
      </c>
      <c r="F9" s="6">
        <f>MOD(Phase-B9+180,360)-180</f>
        <v>67.998</v>
      </c>
    </row>
    <row r="10">
      <c r="A10" s="3" t="s">
        <v>90</v>
      </c>
      <c r="B10" s="6">
        <v>174.15</v>
      </c>
      <c r="C10" s="6">
        <v>218.13</v>
      </c>
      <c r="D10" s="6">
        <f t="shared" si="1"/>
        <v>43.98</v>
      </c>
      <c r="E10" s="6">
        <f>MOD(Phase-C10+180,360)-180</f>
        <v>-11.952</v>
      </c>
      <c r="F10" s="6">
        <f>MOD(Phase-B10+180,360)-180</f>
        <v>32.028</v>
      </c>
    </row>
    <row r="11">
      <c r="A11" s="3" t="s">
        <v>113</v>
      </c>
      <c r="B11" s="6">
        <v>218.13</v>
      </c>
      <c r="C11" s="6">
        <v>241.05</v>
      </c>
      <c r="D11" s="6">
        <f t="shared" si="1"/>
        <v>22.92</v>
      </c>
      <c r="E11" s="6">
        <f>MOD(Phase-C11+180,360)-180</f>
        <v>-34.872</v>
      </c>
      <c r="F11" s="6">
        <f>MOD(Phase-B11+180,360)-180</f>
        <v>-11.952</v>
      </c>
    </row>
    <row r="12">
      <c r="A12" s="3" t="s">
        <v>131</v>
      </c>
      <c r="B12" s="6">
        <v>241.05</v>
      </c>
      <c r="C12" s="6">
        <v>247.68</v>
      </c>
      <c r="D12" s="6">
        <f t="shared" si="1"/>
        <v>6.63</v>
      </c>
      <c r="E12" s="6">
        <f>MOD(Phase-C12+180,360)-180</f>
        <v>-41.502</v>
      </c>
      <c r="F12" s="6">
        <f>MOD(Phase-B12+180,360)-180</f>
        <v>-34.872</v>
      </c>
    </row>
    <row r="13">
      <c r="A13" s="3" t="s">
        <v>141</v>
      </c>
      <c r="B13" s="6">
        <v>247.68</v>
      </c>
      <c r="C13" s="6">
        <v>266.25</v>
      </c>
      <c r="D13" s="6">
        <f t="shared" si="1"/>
        <v>18.57</v>
      </c>
      <c r="E13" s="6">
        <f>MOD(Phase-C13+180,360)-180</f>
        <v>-60.072</v>
      </c>
      <c r="F13" s="6">
        <f>MOD(Phase-B13+180,360)-180</f>
        <v>-41.502</v>
      </c>
    </row>
    <row r="14">
      <c r="A14" s="3" t="s">
        <v>149</v>
      </c>
      <c r="B14" s="6">
        <v>266.25</v>
      </c>
      <c r="C14" s="6">
        <v>299.71</v>
      </c>
      <c r="D14" s="6">
        <f t="shared" si="1"/>
        <v>33.46</v>
      </c>
      <c r="E14" s="6">
        <f>MOD(Phase-C14+180,360)-180</f>
        <v>-93.532</v>
      </c>
      <c r="F14" s="6">
        <f>MOD(Phase-B14+180,360)-180</f>
        <v>-60.072</v>
      </c>
    </row>
    <row r="15">
      <c r="A15" s="3" t="s">
        <v>159</v>
      </c>
      <c r="B15" s="6">
        <v>299.71</v>
      </c>
      <c r="C15" s="6">
        <v>327.88</v>
      </c>
      <c r="D15" s="6">
        <f t="shared" si="1"/>
        <v>28.17</v>
      </c>
      <c r="E15" s="6">
        <f>MOD(Phase-C15+180,360)-180</f>
        <v>-121.702</v>
      </c>
      <c r="F15" s="6">
        <f>MOD(Phase-B15+180,360)-180</f>
        <v>-93.532</v>
      </c>
    </row>
    <row r="16">
      <c r="A16" s="3" t="s">
        <v>171</v>
      </c>
      <c r="B16" s="6">
        <v>327.88</v>
      </c>
      <c r="C16" s="6">
        <v>351.57</v>
      </c>
      <c r="D16" s="6">
        <f t="shared" si="1"/>
        <v>23.69</v>
      </c>
      <c r="E16" s="6">
        <f>MOD(Phase-C16+180,360)-180</f>
        <v>-145.392</v>
      </c>
      <c r="F16" s="6">
        <f>MOD(Phase-B16+180,360)-180</f>
        <v>-121.702</v>
      </c>
    </row>
    <row r="17">
      <c r="A17" s="3" t="s">
        <v>58</v>
      </c>
      <c r="B17" s="6">
        <v>351.57</v>
      </c>
      <c r="C17" s="6">
        <v>389.09</v>
      </c>
      <c r="D17" s="6">
        <f t="shared" si="1"/>
        <v>37.52</v>
      </c>
      <c r="E17" s="6">
        <f>MOD(Phase-C17+180,360)-180</f>
        <v>177.088</v>
      </c>
      <c r="F17" s="6">
        <f>MOD(Phase-B17+180,360)-180</f>
        <v>-145.392</v>
      </c>
    </row>
    <row r="19">
      <c r="A19" s="3" t="s">
        <v>195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42.0"/>
    <col customWidth="1" min="2" max="2" width="10.0"/>
    <col customWidth="1" min="3" max="3" width="16.0"/>
    <col customWidth="1" min="4" max="4" width="14.0"/>
    <col customWidth="1" min="5" max="6" width="12.0"/>
    <col customWidth="1" min="7" max="26" width="8.71"/>
  </cols>
  <sheetData>
    <row r="1">
      <c r="A1" s="1" t="s">
        <v>196</v>
      </c>
    </row>
    <row r="2">
      <c r="A2" s="2" t="s">
        <v>197</v>
      </c>
    </row>
    <row r="4">
      <c r="A4" s="4" t="s">
        <v>198</v>
      </c>
      <c r="B4" s="4" t="s">
        <v>199</v>
      </c>
      <c r="C4" s="4" t="s">
        <v>200</v>
      </c>
      <c r="D4" s="4" t="s">
        <v>201</v>
      </c>
      <c r="E4" s="4" t="s">
        <v>202</v>
      </c>
      <c r="F4" s="4" t="s">
        <v>203</v>
      </c>
    </row>
    <row r="5">
      <c r="A5" s="3" t="s">
        <v>204</v>
      </c>
      <c r="B5" s="6">
        <v>206.178</v>
      </c>
      <c r="C5" s="6">
        <v>2.34</v>
      </c>
      <c r="D5" s="3">
        <v>7.0</v>
      </c>
      <c r="E5" s="6">
        <v>20.28</v>
      </c>
      <c r="F5" s="3">
        <v>6988.0</v>
      </c>
    </row>
    <row r="6">
      <c r="A6" s="3" t="s">
        <v>205</v>
      </c>
      <c r="B6" s="6">
        <v>206.41</v>
      </c>
      <c r="C6" s="6">
        <v>2.57</v>
      </c>
      <c r="D6" s="3">
        <v>5.0</v>
      </c>
      <c r="E6" s="6">
        <v>20.49</v>
      </c>
      <c r="F6" s="3">
        <v>8396.0</v>
      </c>
    </row>
    <row r="7">
      <c r="A7" s="3" t="s">
        <v>206</v>
      </c>
      <c r="B7" s="6">
        <v>173.49</v>
      </c>
      <c r="C7" s="6">
        <v>-30.35</v>
      </c>
      <c r="D7" s="3">
        <v>9.0</v>
      </c>
      <c r="E7" s="6">
        <v>17.21</v>
      </c>
      <c r="F7" s="3">
        <v>12.0</v>
      </c>
    </row>
    <row r="8">
      <c r="A8" s="3" t="s">
        <v>207</v>
      </c>
      <c r="B8" s="6">
        <v>280.9</v>
      </c>
      <c r="C8" s="6">
        <v>77.06</v>
      </c>
      <c r="D8" s="3">
        <v>8.0</v>
      </c>
      <c r="E8" s="6">
        <v>17.46</v>
      </c>
      <c r="F8" s="3">
        <v>98.0</v>
      </c>
    </row>
    <row r="9">
      <c r="A9" s="3" t="s">
        <v>208</v>
      </c>
      <c r="B9" s="6">
        <v>298.98</v>
      </c>
      <c r="C9" s="6">
        <v>95.14</v>
      </c>
      <c r="D9" s="3">
        <v>10.0</v>
      </c>
      <c r="E9" s="6">
        <v>17.18</v>
      </c>
      <c r="F9" s="3">
        <v>1.0</v>
      </c>
    </row>
    <row r="10">
      <c r="A10" s="3" t="s">
        <v>209</v>
      </c>
      <c r="B10" s="6">
        <v>196.43</v>
      </c>
      <c r="C10" s="6">
        <v>-7.41</v>
      </c>
      <c r="D10" s="3">
        <v>4.0</v>
      </c>
      <c r="E10" s="6">
        <v>21.84</v>
      </c>
      <c r="F10" s="3">
        <v>20858.0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22.0"/>
    <col customWidth="1" min="2" max="2" width="16.0"/>
    <col customWidth="1" min="3" max="26" width="8.71"/>
  </cols>
  <sheetData>
    <row r="1">
      <c r="A1" s="1" t="s">
        <v>210</v>
      </c>
    </row>
    <row r="2">
      <c r="A2" s="2" t="s">
        <v>211</v>
      </c>
    </row>
    <row r="4">
      <c r="A4" s="4" t="s">
        <v>212</v>
      </c>
      <c r="B4" s="4" t="s">
        <v>213</v>
      </c>
    </row>
    <row r="5">
      <c r="A5" s="3" t="s">
        <v>66</v>
      </c>
      <c r="B5" s="6">
        <v>-99.13</v>
      </c>
    </row>
    <row r="6">
      <c r="A6" s="3" t="s">
        <v>214</v>
      </c>
      <c r="B6" s="6">
        <v>-98.84</v>
      </c>
    </row>
    <row r="7">
      <c r="A7" s="3" t="s">
        <v>215</v>
      </c>
      <c r="B7" s="6">
        <v>-89.62</v>
      </c>
    </row>
    <row r="8">
      <c r="A8" s="3" t="s">
        <v>216</v>
      </c>
      <c r="B8" s="6">
        <v>-88.57</v>
      </c>
    </row>
    <row r="9">
      <c r="A9" s="3" t="s">
        <v>188</v>
      </c>
      <c r="B9" s="6">
        <v>-77.04</v>
      </c>
    </row>
    <row r="10">
      <c r="A10" s="3" t="s">
        <v>168</v>
      </c>
      <c r="B10" s="6">
        <v>-71.97</v>
      </c>
    </row>
    <row r="11">
      <c r="A11" s="3" t="s">
        <v>152</v>
      </c>
      <c r="B11" s="6">
        <v>-8.54</v>
      </c>
    </row>
    <row r="12">
      <c r="A12" s="3" t="s">
        <v>217</v>
      </c>
      <c r="B12" s="6">
        <v>-4.78</v>
      </c>
    </row>
    <row r="13">
      <c r="A13" s="3" t="s">
        <v>218</v>
      </c>
      <c r="B13" s="6">
        <v>-4.02</v>
      </c>
    </row>
    <row r="14">
      <c r="A14" s="3" t="s">
        <v>219</v>
      </c>
      <c r="B14" s="6">
        <v>-0.13</v>
      </c>
    </row>
    <row r="15">
      <c r="A15" s="3" t="s">
        <v>109</v>
      </c>
      <c r="B15" s="6">
        <v>2.35</v>
      </c>
    </row>
    <row r="16">
      <c r="A16" s="3" t="s">
        <v>220</v>
      </c>
      <c r="B16" s="6">
        <v>6.08</v>
      </c>
    </row>
    <row r="17">
      <c r="A17" s="3" t="s">
        <v>221</v>
      </c>
      <c r="B17" s="6">
        <v>10.32</v>
      </c>
    </row>
    <row r="18">
      <c r="A18" s="3" t="s">
        <v>222</v>
      </c>
      <c r="B18" s="6">
        <v>12.48</v>
      </c>
    </row>
    <row r="19">
      <c r="A19" s="3" t="s">
        <v>98</v>
      </c>
      <c r="B19" s="6">
        <v>16.37</v>
      </c>
    </row>
    <row r="20">
      <c r="A20" s="3" t="s">
        <v>223</v>
      </c>
      <c r="B20" s="6">
        <v>22.5</v>
      </c>
    </row>
    <row r="21" ht="15.75" customHeight="1">
      <c r="A21" s="3" t="s">
        <v>224</v>
      </c>
      <c r="B21" s="6">
        <v>23.73</v>
      </c>
    </row>
    <row r="22" ht="15.75" customHeight="1">
      <c r="A22" s="3" t="s">
        <v>130</v>
      </c>
      <c r="B22" s="6">
        <v>28.98</v>
      </c>
    </row>
    <row r="23" ht="15.75" customHeight="1">
      <c r="A23" s="3" t="s">
        <v>225</v>
      </c>
      <c r="B23" s="6">
        <v>29.92</v>
      </c>
    </row>
    <row r="24" ht="15.75" customHeight="1">
      <c r="A24" s="3" t="s">
        <v>226</v>
      </c>
      <c r="B24" s="6">
        <v>30.52</v>
      </c>
    </row>
    <row r="25" ht="15.75" customHeight="1">
      <c r="A25" s="3" t="s">
        <v>227</v>
      </c>
      <c r="B25" s="6">
        <v>31.13</v>
      </c>
    </row>
    <row r="26" ht="15.75" customHeight="1">
      <c r="A26" s="3" t="s">
        <v>228</v>
      </c>
      <c r="B26" s="6">
        <v>32.64</v>
      </c>
    </row>
    <row r="27" ht="15.75" customHeight="1">
      <c r="A27" s="3" t="s">
        <v>229</v>
      </c>
      <c r="B27" s="6">
        <v>35.23</v>
      </c>
    </row>
    <row r="28" ht="15.75" customHeight="1">
      <c r="A28" s="3" t="s">
        <v>230</v>
      </c>
      <c r="B28" s="6">
        <v>36.29</v>
      </c>
    </row>
    <row r="29" ht="15.75" customHeight="1">
      <c r="A29" s="3" t="s">
        <v>231</v>
      </c>
      <c r="B29" s="6">
        <v>37.62</v>
      </c>
    </row>
    <row r="30" ht="15.75" customHeight="1">
      <c r="A30" s="3" t="s">
        <v>232</v>
      </c>
      <c r="B30" s="6">
        <v>39.61</v>
      </c>
    </row>
    <row r="31" ht="15.75" customHeight="1">
      <c r="A31" s="3" t="s">
        <v>233</v>
      </c>
      <c r="B31" s="6">
        <v>39.83</v>
      </c>
    </row>
    <row r="32" ht="15.75" customHeight="1">
      <c r="A32" s="3" t="s">
        <v>234</v>
      </c>
      <c r="B32" s="6">
        <v>43.15</v>
      </c>
    </row>
    <row r="33" ht="15.75" customHeight="1">
      <c r="A33" s="3" t="s">
        <v>235</v>
      </c>
      <c r="B33" s="6">
        <v>44.37</v>
      </c>
    </row>
    <row r="34" ht="15.75" customHeight="1">
      <c r="A34" s="3" t="s">
        <v>118</v>
      </c>
      <c r="B34" s="6">
        <v>44.42</v>
      </c>
    </row>
    <row r="35" ht="15.75" customHeight="1">
      <c r="A35" s="3" t="s">
        <v>236</v>
      </c>
      <c r="B35" s="6">
        <v>51.67</v>
      </c>
    </row>
    <row r="36" ht="15.75" customHeight="1">
      <c r="A36" s="3" t="s">
        <v>237</v>
      </c>
      <c r="B36" s="6">
        <v>52.89</v>
      </c>
    </row>
    <row r="37" ht="15.75" customHeight="1">
      <c r="A37" s="3" t="s">
        <v>238</v>
      </c>
      <c r="B37" s="6">
        <v>64.42</v>
      </c>
    </row>
    <row r="38" ht="15.75" customHeight="1">
      <c r="A38" s="3" t="s">
        <v>239</v>
      </c>
      <c r="B38" s="6">
        <v>66.97</v>
      </c>
    </row>
    <row r="39" ht="15.75" customHeight="1">
      <c r="A39" s="3" t="s">
        <v>94</v>
      </c>
      <c r="B39" s="6">
        <v>77.21</v>
      </c>
    </row>
    <row r="40" ht="15.75" customHeight="1">
      <c r="A40" s="3" t="s">
        <v>240</v>
      </c>
      <c r="B40" s="6">
        <v>83.0</v>
      </c>
    </row>
    <row r="41" ht="15.75" customHeight="1">
      <c r="A41" s="3" t="s">
        <v>241</v>
      </c>
      <c r="B41" s="6">
        <v>84.99</v>
      </c>
    </row>
    <row r="42" ht="15.75" customHeight="1">
      <c r="A42" s="3" t="s">
        <v>242</v>
      </c>
      <c r="B42" s="6">
        <v>91.17</v>
      </c>
    </row>
    <row r="43" ht="15.75" customHeight="1">
      <c r="A43" s="3" t="s">
        <v>243</v>
      </c>
      <c r="B43" s="6">
        <v>94.86</v>
      </c>
    </row>
    <row r="44" ht="15.75" customHeight="1">
      <c r="A44" s="3" t="s">
        <v>244</v>
      </c>
      <c r="B44" s="6">
        <v>103.87</v>
      </c>
    </row>
    <row r="45" ht="15.75" customHeight="1">
      <c r="A45" s="3" t="s">
        <v>78</v>
      </c>
      <c r="B45" s="6">
        <v>108.94</v>
      </c>
    </row>
    <row r="46" ht="15.75" customHeight="1">
      <c r="A46" s="3" t="s">
        <v>245</v>
      </c>
      <c r="B46" s="6">
        <v>116.4</v>
      </c>
    </row>
    <row r="47" ht="15.75" customHeight="1">
      <c r="A47" s="3" t="s">
        <v>246</v>
      </c>
      <c r="B47" s="6">
        <v>135.77</v>
      </c>
    </row>
    <row r="48" ht="15.75" customHeight="1">
      <c r="A48" s="3" t="s">
        <v>247</v>
      </c>
      <c r="B48" s="6">
        <v>135.8</v>
      </c>
    </row>
    <row r="49" ht="15.75" customHeight="1">
      <c r="A49" s="3" t="s">
        <v>43</v>
      </c>
      <c r="B49" s="6">
        <v>136.73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