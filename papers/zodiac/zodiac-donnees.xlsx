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" sheetId="1" state="visible" r:id="rId1"/>
    <sheet xmlns:r="http://schemas.openxmlformats.org/officeDocument/2006/relationships" name="Étoiles principales" sheetId="2" state="visible" r:id="rId2"/>
    <sheet xmlns:r="http://schemas.openxmlformats.org/officeDocument/2006/relationships" name="Étoiles secondaires" sheetId="3" state="visible" r:id="rId3"/>
    <sheet xmlns:r="http://schemas.openxmlformats.org/officeDocument/2006/relationships" name="Secteurs" sheetId="4" state="visible" r:id="rId4"/>
    <sheet xmlns:r="http://schemas.openxmlformats.org/officeDocument/2006/relationships" name="Moindres carrés" sheetId="5" state="visible" r:id="rId5"/>
    <sheet xmlns:r="http://schemas.openxmlformats.org/officeDocument/2006/relationships" name="Portes" sheetId="6" state="visible" r:id="rId6"/>
    <sheet xmlns:r="http://schemas.openxmlformats.org/officeDocument/2006/relationships" name="Villes de référence" sheetId="7" state="visible" r:id="rId7"/>
  </sheets>
  <definedNames>
    <definedName name="Phase">Paramètres!$B$4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2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2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164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</cols>
  <sheetData>
    <row r="1">
      <c r="A1" s="1" t="inlineStr">
        <is>
          <t>Zodiaque géodésique à 13 signes — classeur de données vérifiées</t>
        </is>
      </c>
    </row>
    <row r="2">
      <c r="A2" s="2" t="inlineStr">
        <is>
          <t>Sens inverse (ciel vu d'en bas) : longitude terrestre = φ − longitude écliptique J2000. φ est l'optimum des moindres carrés entre 27 étoiles et 45 lieux de référence.</t>
        </is>
      </c>
    </row>
    <row r="4">
      <c r="A4" t="inlineStr">
        <is>
          <t>Phase φ (°)</t>
        </is>
      </c>
      <c r="B4" s="3" t="n">
        <v>198.716</v>
      </c>
      <c r="C4" t="inlineStr">
        <is>
          <t>Entrée modifiable. 198,716 : optimum des moindres carrés (27 étoiles contre les 45 lieux de référence, 7 200 positions balayées). Spica tombe alors sur Ouessant.</t>
        </is>
      </c>
    </row>
    <row r="5">
      <c r="A5" t="inlineStr">
        <is>
          <t>Spica tombe à (°)</t>
        </is>
      </c>
      <c r="B5" s="4">
        <f>MOD(Phase-203.841+180,360)-180</f>
        <v/>
      </c>
    </row>
    <row r="6">
      <c r="A6" t="inlineStr">
        <is>
          <t>Légende</t>
        </is>
      </c>
      <c r="B6" s="5" t="inlineStr">
        <is>
          <t>Cellule jaune</t>
        </is>
      </c>
      <c r="C6" t="inlineStr">
        <is>
          <t>Entrée à modifier. Les colonnes de villes et d'écarts sont valables pour φ = 198,716 seulement.</t>
        </is>
      </c>
    </row>
    <row r="8">
      <c r="A8" s="6" t="inlineStr">
        <is>
          <t>Onglets</t>
        </is>
      </c>
    </row>
    <row r="9">
      <c r="A9" t="inlineStr">
        <is>
          <t>Étoiles principales</t>
        </is>
      </c>
      <c r="B9" t="inlineStr">
        <is>
          <t>27 étoiles des 13 signes, positions PyEphem / Wikipédia J2000, villes vérifiées</t>
        </is>
      </c>
    </row>
    <row r="10">
      <c r="A10" t="inlineStr">
        <is>
          <t>Étoiles secondaires</t>
        </is>
      </c>
      <c r="B10" t="inlineStr">
        <is>
          <t>18 étoiles ajoutées par Meta AI, recalculées ; colonne d'erreur de la version Meta</t>
        </is>
      </c>
    </row>
    <row r="11">
      <c r="A11" t="inlineStr">
        <is>
          <t>Secteurs</t>
        </is>
      </c>
      <c r="B11" t="inlineStr">
        <is>
          <t>Bornes UAI des 13 constellations sur l'écliptique et leur projection terrestre</t>
        </is>
      </c>
    </row>
    <row r="12">
      <c r="A12" t="inlineStr">
        <is>
          <t>Moindres carrés</t>
        </is>
      </c>
      <c r="B12" t="inlineStr">
        <is>
          <t>Les 27 étoiles face au lieu de référence le plus proche à φ = 198,716, leurs écarts, la somme des carrés, et les vallées du balayage</t>
        </is>
      </c>
    </row>
    <row r="13">
      <c r="A13" t="inlineStr">
        <is>
          <t>Portes</t>
        </is>
      </c>
      <c r="B13" t="inlineStr">
        <is>
          <t>Les 13 méridiens de passage d'un signe à l'autre et le lieu qui les garde</t>
        </is>
      </c>
    </row>
    <row r="14">
      <c r="A14" t="inlineStr">
        <is>
          <t>Villes de référence</t>
        </is>
      </c>
      <c r="B14" t="inlineStr">
        <is>
          <t>45 villes historiques de référence</t>
        </is>
      </c>
    </row>
    <row r="15">
      <c r="A15" s="6" t="inlineStr">
        <is>
          <t>Sources</t>
        </is>
      </c>
    </row>
    <row r="16">
      <c r="A16" t="inlineStr">
        <is>
          <t>Positions</t>
        </is>
      </c>
      <c r="B16" t="inlineStr">
        <is>
          <t>Catalogue PyEphem 4.2.1 ; coordonnées J2000 Wikipédia pour les étoiles absentes du catalogue</t>
        </is>
      </c>
    </row>
    <row r="17">
      <c r="A17" t="inlineStr">
        <is>
          <t>Bornes</t>
        </is>
      </c>
      <c r="B17" t="inlineStr">
        <is>
          <t>Limites UAI (Delporte 1930), valeurs J2000 arrondies</t>
        </is>
      </c>
    </row>
    <row r="18">
      <c r="A18" t="inlineStr">
        <is>
          <t>Villes</t>
        </is>
      </c>
      <c r="B18" t="inlineStr">
        <is>
          <t>GeoNames (villes ≥ 500 000 hab.) et longitudes usuelles des sites historiques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1" customWidth="1" min="4" max="4"/>
    <col width="14" customWidth="1" min="5" max="5"/>
    <col width="34" customWidth="1" min="6" max="6"/>
    <col width="16" customWidth="1" min="7" max="7"/>
    <col width="58" customWidth="1" min="8" max="8"/>
  </cols>
  <sheetData>
    <row r="1">
      <c r="A1" s="1" t="inlineStr">
        <is>
          <t>Étoiles principales des 13 signes</t>
        </is>
      </c>
    </row>
    <row r="2">
      <c r="A2" s="2" t="inlineStr">
        <is>
          <t>Méridien recalculé depuis la phase φ ; villes et écarts établis pour φ = 198,716.</t>
        </is>
      </c>
    </row>
    <row r="4">
      <c r="A4" s="7" t="inlineStr">
        <is>
          <t>Signe</t>
        </is>
      </c>
      <c r="B4" s="7" t="inlineStr">
        <is>
          <t>Étoile</t>
        </is>
      </c>
      <c r="C4" s="7" t="inlineStr">
        <is>
          <t>λ écliptique J2000 (°)</t>
        </is>
      </c>
      <c r="D4" s="7" t="inlineStr">
        <is>
          <t>β écliptique (°)</t>
        </is>
      </c>
      <c r="E4" s="7" t="inlineStr">
        <is>
          <t>Méridien terrestre (°, Est +)</t>
        </is>
      </c>
      <c r="F4" s="7" t="inlineStr">
        <is>
          <t>Ville ou lieu (φ = 198,716)</t>
        </is>
      </c>
      <c r="G4" s="7" t="inlineStr">
        <is>
          <t>Écart en longitude (°)</t>
        </is>
      </c>
      <c r="H4" s="7" t="inlineStr">
        <is>
          <t>Résonance</t>
        </is>
      </c>
    </row>
    <row r="5">
      <c r="A5" t="inlineStr">
        <is>
          <t>Bélier</t>
        </is>
      </c>
      <c r="B5" t="inlineStr">
        <is>
          <t>Hamal</t>
        </is>
      </c>
      <c r="C5" s="4" t="n">
        <v>37.66</v>
      </c>
      <c r="D5" s="4" t="n">
        <v>9.970000000000001</v>
      </c>
      <c r="E5" s="4">
        <f>MOD(Phase-C5+180,360)-180</f>
        <v/>
      </c>
      <c r="F5" s="10" t="inlineStr">
        <is>
          <t>Pacifique ; îles Salomon (Honiara) à 1,1°</t>
        </is>
      </c>
      <c r="G5" t="inlineStr">
        <is>
          <t>—</t>
        </is>
      </c>
      <c r="H5" s="10" t="inlineStr">
        <is>
          <t>Aucune</t>
        </is>
      </c>
    </row>
    <row r="6">
      <c r="A6" t="inlineStr">
        <is>
          <t>Taureau</t>
        </is>
      </c>
      <c r="B6" t="inlineStr">
        <is>
          <t>Alcyone</t>
        </is>
      </c>
      <c r="C6" s="4" t="n">
        <v>59.99</v>
      </c>
      <c r="D6" s="4" t="n">
        <v>4.05</v>
      </c>
      <c r="E6" s="4">
        <f>MOD(Phase-C6+180,360)-180</f>
        <v/>
      </c>
      <c r="F6" s="6" t="inlineStr">
        <is>
          <t>Mont Fuji ; Adélaïde</t>
        </is>
      </c>
      <c r="G6" t="inlineStr">
        <is>
          <t>0,00 ; 0,13</t>
        </is>
      </c>
      <c r="H6" s="6" t="inlineStr">
        <is>
          <t>Forte : les Pléiades (Subaru) sur la montagne sacrée du Japon</t>
        </is>
      </c>
    </row>
    <row r="7">
      <c r="A7" t="inlineStr">
        <is>
          <t>Taureau</t>
        </is>
      </c>
      <c r="B7" t="inlineStr">
        <is>
          <t>Aldebaran</t>
        </is>
      </c>
      <c r="C7" s="4" t="n">
        <v>69.79000000000001</v>
      </c>
      <c r="D7" s="4" t="n">
        <v>-5.47</v>
      </c>
      <c r="E7" s="4">
        <f>MOD(Phase-C7+180,360)-180</f>
        <v/>
      </c>
      <c r="F7" s="10" t="inlineStr">
        <is>
          <t>Busan ; Gyeongju</t>
        </is>
      </c>
      <c r="G7" t="inlineStr">
        <is>
          <t>0,10 ; 0,28</t>
        </is>
      </c>
      <c r="H7" s="10" t="inlineStr">
        <is>
          <t>Moyenne : l'œil du Taureau sur l'ancienne capitale de Silla</t>
        </is>
      </c>
    </row>
    <row r="8">
      <c r="A8" t="inlineStr">
        <is>
          <t>Taureau</t>
        </is>
      </c>
      <c r="B8" t="inlineStr">
        <is>
          <t>Elnath</t>
        </is>
      </c>
      <c r="C8" s="4" t="n">
        <v>82.56999999999999</v>
      </c>
      <c r="D8" s="4" t="n">
        <v>5.39</v>
      </c>
      <c r="E8" s="4">
        <f>MOD(Phase-C8+180,360)-180</f>
        <v/>
      </c>
      <c r="F8" s="10" t="inlineStr">
        <is>
          <t>Pékin (Cité interdite) ; Perth</t>
        </is>
      </c>
      <c r="G8" t="inlineStr">
        <is>
          <t>0,25 ; 0,28</t>
        </is>
      </c>
      <c r="H8" s="10" t="inlineStr">
        <is>
          <t>Moyenne : la corne du Taureau sur la capitale impériale</t>
        </is>
      </c>
    </row>
    <row r="9">
      <c r="A9" t="inlineStr">
        <is>
          <t>Gémeaux</t>
        </is>
      </c>
      <c r="B9" t="inlineStr">
        <is>
          <t>Castor</t>
        </is>
      </c>
      <c r="C9" s="4" t="n">
        <v>110.24</v>
      </c>
      <c r="D9" s="4" t="n">
        <v>10.1</v>
      </c>
      <c r="E9" s="4">
        <f>MOD(Phase-C9+180,360)-180</f>
        <v/>
      </c>
      <c r="F9" s="10" t="inlineStr">
        <is>
          <t>Kolkata ; Siliguri</t>
        </is>
      </c>
      <c r="G9" t="inlineStr">
        <is>
          <t>0,12 ; 0,05</t>
        </is>
      </c>
      <c r="H9" s="10" t="inlineStr">
        <is>
          <t>Coïncidence de métropole</t>
        </is>
      </c>
    </row>
    <row r="10">
      <c r="A10" t="inlineStr">
        <is>
          <t>Gémeaux</t>
        </is>
      </c>
      <c r="B10" t="inlineStr">
        <is>
          <t>Pollux</t>
        </is>
      </c>
      <c r="C10" s="4" t="n">
        <v>113.22</v>
      </c>
      <c r="D10" s="4" t="n">
        <v>6.68</v>
      </c>
      <c r="E10" s="4">
        <f>MOD(Phase-C10+180,360)-180</f>
        <v/>
      </c>
      <c r="F10" s="10" t="inlineStr">
        <is>
          <t>Katmandou ; Patna</t>
        </is>
      </c>
      <c r="G10" t="inlineStr">
        <is>
          <t>0,18 ; 0,36</t>
        </is>
      </c>
      <c r="H10" s="10" t="inlineStr">
        <is>
          <t>Moyenne : la capitale de l'Himalaya</t>
        </is>
      </c>
    </row>
    <row r="11">
      <c r="A11" t="inlineStr">
        <is>
          <t>Cancer</t>
        </is>
      </c>
      <c r="B11" t="inlineStr">
        <is>
          <t>Asellus Australis</t>
        </is>
      </c>
      <c r="C11" s="4" t="n">
        <v>128.72</v>
      </c>
      <c r="D11" s="4" t="n">
        <v>0.08</v>
      </c>
      <c r="E11" s="4">
        <f>MOD(Phase-C11+180,360)-180</f>
        <v/>
      </c>
      <c r="F11" s="6" t="inlineStr">
        <is>
          <t>Jamnagar ; Somnath</t>
        </is>
      </c>
      <c r="G11" t="inlineStr">
        <is>
          <t>0,07 ; 0,40</t>
        </is>
      </c>
      <c r="H11" s="6" t="inlineStr">
        <is>
          <t>Forte : sous le signe de la Lune, le temple du Seigneur de la Lune</t>
        </is>
      </c>
    </row>
    <row r="12">
      <c r="A12" t="inlineStr">
        <is>
          <t>Cancer</t>
        </is>
      </c>
      <c r="B12" t="inlineStr">
        <is>
          <t>Acubens</t>
        </is>
      </c>
      <c r="C12" s="4" t="n">
        <v>133.64</v>
      </c>
      <c r="D12" s="4" t="n">
        <v>-5.08</v>
      </c>
      <c r="E12" s="4">
        <f>MOD(Phase-C12+180,360)-180</f>
        <v/>
      </c>
      <c r="F12" s="10" t="inlineStr">
        <is>
          <t>Kandahar ; Boukhara</t>
        </is>
      </c>
      <c r="G12" t="inlineStr">
        <is>
          <t>0,63 ; 0,66</t>
        </is>
      </c>
      <c r="H12" s="10" t="inlineStr">
        <is>
          <t>Faible</t>
        </is>
      </c>
    </row>
    <row r="13">
      <c r="A13" t="inlineStr">
        <is>
          <t>Lion</t>
        </is>
      </c>
      <c r="B13" t="inlineStr">
        <is>
          <t>Regulus</t>
        </is>
      </c>
      <c r="C13" s="4" t="n">
        <v>149.83</v>
      </c>
      <c r="D13" s="4" t="n">
        <v>0.46</v>
      </c>
      <c r="E13" s="4">
        <f>MOD(Phase-C13+180,360)-180</f>
        <v/>
      </c>
      <c r="F13" s="6" t="inlineStr">
        <is>
          <t>Ahvaz ; Suse</t>
        </is>
      </c>
      <c r="G13" t="inlineStr">
        <is>
          <t>0,20 ; 0,64</t>
        </is>
      </c>
      <c r="H13" s="6" t="inlineStr">
        <is>
          <t>Forte : étoile royale sur Suse, capitale royale de la Perse</t>
        </is>
      </c>
    </row>
    <row r="14">
      <c r="A14" t="inlineStr">
        <is>
          <t>Lion</t>
        </is>
      </c>
      <c r="B14" t="inlineStr">
        <is>
          <t>Algieba</t>
        </is>
      </c>
      <c r="C14" s="4" t="n">
        <v>149.62</v>
      </c>
      <c r="D14" s="4" t="n">
        <v>8.81</v>
      </c>
      <c r="E14" s="4">
        <f>MOD(Phase-C14+180,360)-180</f>
        <v/>
      </c>
      <c r="F14" s="10" t="inlineStr">
        <is>
          <t>Kazan ; Ahvaz</t>
        </is>
      </c>
      <c r="G14" t="inlineStr">
        <is>
          <t>0,03 ; 0,41</t>
        </is>
      </c>
      <c r="H14" s="10" t="inlineStr">
        <is>
          <t>Avec Regulus</t>
        </is>
      </c>
    </row>
    <row r="15">
      <c r="A15" t="inlineStr">
        <is>
          <t>Lion</t>
        </is>
      </c>
      <c r="B15" t="inlineStr">
        <is>
          <t>Denebola</t>
        </is>
      </c>
      <c r="C15" s="4" t="n">
        <v>171.62</v>
      </c>
      <c r="D15" s="4" t="n">
        <v>12.27</v>
      </c>
      <c r="E15" s="4">
        <f>MOD(Phase-C15+180,360)-180</f>
        <v/>
      </c>
      <c r="F15" s="10" t="inlineStr">
        <is>
          <t>Izmir ; Pergame ; Éphèse</t>
        </is>
      </c>
      <c r="G15" t="inlineStr">
        <is>
          <t>0,04 ; 0,08 ; 0,24</t>
        </is>
      </c>
      <c r="H15" s="10" t="inlineStr">
        <is>
          <t>Moyenne : la queue du Lion sur l'Ionie antique</t>
        </is>
      </c>
    </row>
    <row r="16">
      <c r="A16" t="inlineStr">
        <is>
          <t>Vierge</t>
        </is>
      </c>
      <c r="B16" t="inlineStr">
        <is>
          <t>Vindemiatrix</t>
        </is>
      </c>
      <c r="C16" s="4" t="n">
        <v>189.94</v>
      </c>
      <c r="D16" s="4" t="n">
        <v>16.2</v>
      </c>
      <c r="E16" s="4">
        <f>MOD(Phase-C16+180,360)-180</f>
        <v/>
      </c>
      <c r="F16" s="10" t="inlineStr">
        <is>
          <t>Francfort ; Gênes</t>
        </is>
      </c>
      <c r="G16" t="inlineStr">
        <is>
          <t>0,10 ; 0,15</t>
        </is>
      </c>
      <c r="H16" s="10" t="inlineStr">
        <is>
          <t>Faible</t>
        </is>
      </c>
    </row>
    <row r="17">
      <c r="A17" t="inlineStr">
        <is>
          <t>Vierge</t>
        </is>
      </c>
      <c r="B17" t="inlineStr">
        <is>
          <t>Spica</t>
        </is>
      </c>
      <c r="C17" s="4" t="n">
        <v>203.84</v>
      </c>
      <c r="D17" s="4" t="n">
        <v>-2.05</v>
      </c>
      <c r="E17" s="4">
        <f>MOD(Phase-C17+180,360)-180</f>
        <v/>
      </c>
      <c r="F17" s="6" t="inlineStr">
        <is>
          <t>Ouessant ; Fès</t>
        </is>
      </c>
      <c r="G17" t="inlineStr">
        <is>
          <t>0,04 ; 0,12</t>
        </is>
      </c>
      <c r="H17" s="6" t="inlineStr">
        <is>
          <t>Signature : l'épi sur la dernière terre de Gaule avant l'océan</t>
        </is>
      </c>
    </row>
    <row r="18">
      <c r="A18" t="inlineStr">
        <is>
          <t>Balance</t>
        </is>
      </c>
      <c r="B18" t="inlineStr">
        <is>
          <t>Zubenelgenubi</t>
        </is>
      </c>
      <c r="C18" s="4" t="n">
        <v>225.08</v>
      </c>
      <c r="D18" s="4" t="n">
        <v>0.33</v>
      </c>
      <c r="E18" s="4">
        <f>MOD(Phase-C18+180,360)-180</f>
        <v/>
      </c>
      <c r="F18" s="10" t="inlineStr">
        <is>
          <t>Atlantique ; Açores (São Miguel)</t>
        </is>
      </c>
      <c r="G18" t="inlineStr">
        <is>
          <t>0,69</t>
        </is>
      </c>
      <c r="H18" s="10" t="inlineStr">
        <is>
          <t>Aucune</t>
        </is>
      </c>
    </row>
    <row r="19">
      <c r="A19" t="inlineStr">
        <is>
          <t>Balance</t>
        </is>
      </c>
      <c r="B19" t="inlineStr">
        <is>
          <t>Zubeneschamali</t>
        </is>
      </c>
      <c r="C19" s="4" t="n">
        <v>229.37</v>
      </c>
      <c r="D19" s="4" t="n">
        <v>8.5</v>
      </c>
      <c r="E19" s="4">
        <f>MOD(Phase-C19+180,360)-180</f>
        <v/>
      </c>
      <c r="F19" s="10" t="inlineStr">
        <is>
          <t>Atlantique ; Açores (Flores)</t>
        </is>
      </c>
      <c r="G19" t="inlineStr">
        <is>
          <t>0,55</t>
        </is>
      </c>
      <c r="H19" s="10" t="inlineStr">
        <is>
          <t>Faible : l'île la plus occidentale de l'Europe</t>
        </is>
      </c>
    </row>
    <row r="20">
      <c r="A20" t="inlineStr">
        <is>
          <t>Scorpion</t>
        </is>
      </c>
      <c r="B20" t="inlineStr">
        <is>
          <t>Antares</t>
        </is>
      </c>
      <c r="C20" s="4" t="n">
        <v>249.76</v>
      </c>
      <c r="D20" s="4" t="n">
        <v>-4.57</v>
      </c>
      <c r="E20" s="4">
        <f>MOD(Phase-C20+180,360)-180</f>
        <v/>
      </c>
      <c r="F20" s="6" t="inlineStr">
        <is>
          <t>Macapá (Marco Zero) ; Porto Alegre</t>
        </is>
      </c>
      <c r="G20" t="inlineStr">
        <is>
          <t>0,02 ; 0,19</t>
        </is>
      </c>
      <c r="H20" s="6" t="inlineStr">
        <is>
          <t>Forte : étoile royale sur la ligne de l'équateur, à l'embouchure de l'Amazone</t>
        </is>
      </c>
    </row>
    <row r="21">
      <c r="A21" t="inlineStr">
        <is>
          <t>Scorpion</t>
        </is>
      </c>
      <c r="B21" t="inlineStr">
        <is>
          <t>Shaula</t>
        </is>
      </c>
      <c r="C21" s="4" t="n">
        <v>264.59</v>
      </c>
      <c r="D21" s="4" t="n">
        <v>-13.79</v>
      </c>
      <c r="E21" s="4">
        <f>MOD(Phase-C21+180,360)-180</f>
        <v/>
      </c>
      <c r="F21" s="10" t="inlineStr">
        <is>
          <t>San Juan (Porto Rico) ; Cochabamba</t>
        </is>
      </c>
      <c r="G21" t="inlineStr">
        <is>
          <t>0,23 ; 0,29</t>
        </is>
      </c>
      <c r="H21" s="10" t="inlineStr">
        <is>
          <t>Aucune</t>
        </is>
      </c>
    </row>
    <row r="22">
      <c r="A22" t="inlineStr">
        <is>
          <t>Ophiuchus</t>
        </is>
      </c>
      <c r="B22" t="inlineStr">
        <is>
          <t>Sabik</t>
        </is>
      </c>
      <c r="C22" s="4" t="n">
        <v>257.97</v>
      </c>
      <c r="D22" s="4" t="n">
        <v>7.2</v>
      </c>
      <c r="E22" s="4">
        <f>MOD(Phase-C22+180,360)-180</f>
        <v/>
      </c>
      <c r="F22" s="10" t="inlineStr">
        <is>
          <t>Corrientes ; Manaus</t>
        </is>
      </c>
      <c r="G22" t="inlineStr">
        <is>
          <t>0,42 ; 0,77</t>
        </is>
      </c>
      <c r="H22" s="10" t="inlineStr">
        <is>
          <t>Faible</t>
        </is>
      </c>
    </row>
    <row r="23">
      <c r="A23" t="inlineStr">
        <is>
          <t>Ophiuchus</t>
        </is>
      </c>
      <c r="B23" t="inlineStr">
        <is>
          <t>Rasalhague</t>
        </is>
      </c>
      <c r="C23" s="4" t="n">
        <v>262.45</v>
      </c>
      <c r="D23" s="4" t="n">
        <v>35.84</v>
      </c>
      <c r="E23" s="4">
        <f>MOD(Phase-C23+180,360)-180</f>
        <v/>
      </c>
      <c r="F23" s="10" t="inlineStr">
        <is>
          <t>Halifax ; Porto Velho</t>
        </is>
      </c>
      <c r="G23" t="inlineStr">
        <is>
          <t>0,16 ; 0,17</t>
        </is>
      </c>
      <c r="H23" s="10" t="inlineStr">
        <is>
          <t>Aucune</t>
        </is>
      </c>
    </row>
    <row r="24">
      <c r="A24" t="inlineStr">
        <is>
          <t>Sagittaire</t>
        </is>
      </c>
      <c r="B24" t="inlineStr">
        <is>
          <t>Kaus Australis</t>
        </is>
      </c>
      <c r="C24" s="4" t="n">
        <v>275.08</v>
      </c>
      <c r="D24" s="4" t="n">
        <v>-11.05</v>
      </c>
      <c r="E24" s="4">
        <f>MOD(Phase-C24+180,360)-180</f>
        <v/>
      </c>
      <c r="F24" s="10" t="inlineStr">
        <is>
          <t>Cali ; Baltimore ; Washington</t>
        </is>
      </c>
      <c r="G24" t="inlineStr">
        <is>
          <t>0,16 ; 0,25 ; 0,68</t>
        </is>
      </c>
      <c r="H24" s="10" t="inlineStr">
        <is>
          <t>Faible</t>
        </is>
      </c>
    </row>
    <row r="25">
      <c r="A25" t="inlineStr">
        <is>
          <t>Sagittaire</t>
        </is>
      </c>
      <c r="B25" t="inlineStr">
        <is>
          <t>Nunki</t>
        </is>
      </c>
      <c r="C25" s="4" t="n">
        <v>282.39</v>
      </c>
      <c r="D25" s="4" t="n">
        <v>-3.45</v>
      </c>
      <c r="E25" s="4">
        <f>MOD(Phase-C25+180,360)-180</f>
        <v/>
      </c>
      <c r="F25" s="10" t="inlineStr">
        <is>
          <t>San José (Costa Rica) ; Atlanta</t>
        </is>
      </c>
      <c r="G25" t="inlineStr">
        <is>
          <t>0,41 ; 0,72</t>
        </is>
      </c>
      <c r="H25" s="10" t="inlineStr">
        <is>
          <t>Aucune</t>
        </is>
      </c>
    </row>
    <row r="26">
      <c r="A26" t="inlineStr">
        <is>
          <t>Capricorne</t>
        </is>
      </c>
      <c r="B26" t="inlineStr">
        <is>
          <t>Dabih</t>
        </is>
      </c>
      <c r="C26" s="4" t="n">
        <v>304.05</v>
      </c>
      <c r="D26" s="4" t="n">
        <v>4.59</v>
      </c>
      <c r="E26" s="4">
        <f>MOD(Phase-C26+180,360)-180</f>
        <v/>
      </c>
      <c r="F26" s="10" t="inlineStr">
        <is>
          <t>Taos Pueblo ; Denver</t>
        </is>
      </c>
      <c r="G26" t="inlineStr">
        <is>
          <t>0,22 ; 0,35</t>
        </is>
      </c>
      <c r="H26" s="10" t="inlineStr">
        <is>
          <t>Moyenne : l'un des plus anciens villages habités d'Amérique du Nord</t>
        </is>
      </c>
    </row>
    <row r="27">
      <c r="A27" t="inlineStr">
        <is>
          <t>Capricorne</t>
        </is>
      </c>
      <c r="B27" t="inlineStr">
        <is>
          <t>Deneb Algedi</t>
        </is>
      </c>
      <c r="C27" s="4" t="n">
        <v>323.54</v>
      </c>
      <c r="D27" s="4" t="n">
        <v>-2.6</v>
      </c>
      <c r="E27" s="4">
        <f>MOD(Phase-C27+180,360)-180</f>
        <v/>
      </c>
      <c r="F27" s="10" t="inlineStr">
        <is>
          <t>Pacifique, côte des séquoias (cap Mendocino)</t>
        </is>
      </c>
      <c r="G27" t="inlineStr">
        <is>
          <t>0,41</t>
        </is>
      </c>
      <c r="H27" s="10" t="inlineStr">
        <is>
          <t>Aucune</t>
        </is>
      </c>
    </row>
    <row r="28">
      <c r="A28" t="inlineStr">
        <is>
          <t>Verseau</t>
        </is>
      </c>
      <c r="B28" t="inlineStr">
        <is>
          <t>Sadalsuud</t>
        </is>
      </c>
      <c r="C28" s="4" t="n">
        <v>323.4</v>
      </c>
      <c r="D28" s="4" t="n">
        <v>8.619999999999999</v>
      </c>
      <c r="E28" s="4">
        <f>MOD(Phase-C28+180,360)-180</f>
        <v/>
      </c>
      <c r="F28" s="10" t="inlineStr">
        <is>
          <t>Pacifique, côte des séquoias (cap Mendocino)</t>
        </is>
      </c>
      <c r="G28" t="inlineStr">
        <is>
          <t>0,27</t>
        </is>
      </c>
      <c r="H28" s="10" t="inlineStr">
        <is>
          <t>Avec Deneb Algedi</t>
        </is>
      </c>
    </row>
    <row r="29">
      <c r="A29" t="inlineStr">
        <is>
          <t>Verseau</t>
        </is>
      </c>
      <c r="B29" t="inlineStr">
        <is>
          <t>Sadalmelik</t>
        </is>
      </c>
      <c r="C29" s="4" t="n">
        <v>333.35</v>
      </c>
      <c r="D29" s="4" t="n">
        <v>10.66</v>
      </c>
      <c r="E29" s="4">
        <f>MOD(Phase-C29+180,360)-180</f>
        <v/>
      </c>
      <c r="F29" s="10" t="inlineStr">
        <is>
          <t>Juneau (Alaska)</t>
        </is>
      </c>
      <c r="G29" t="inlineStr">
        <is>
          <t>0,21</t>
        </is>
      </c>
      <c r="H29" s="10" t="inlineStr">
        <is>
          <t>Moyenne : le porteur d'eau sur la côte des peuples du saumon</t>
        </is>
      </c>
    </row>
    <row r="30">
      <c r="A30" t="inlineStr">
        <is>
          <t>Poissons</t>
        </is>
      </c>
      <c r="B30" t="inlineStr">
        <is>
          <t>Alpherg (η Psc)</t>
        </is>
      </c>
      <c r="C30" s="4" t="n">
        <v>26.82</v>
      </c>
      <c r="D30" s="4" t="n">
        <v>5.38</v>
      </c>
      <c r="E30" s="4">
        <f>MOD(Phase-C30+180,360)-180</f>
        <v/>
      </c>
      <c r="F30" s="10" t="inlineStr">
        <is>
          <t>Christchurch</t>
        </is>
      </c>
      <c r="G30" t="inlineStr">
        <is>
          <t>0,74</t>
        </is>
      </c>
      <c r="H30" s="10" t="inlineStr">
        <is>
          <t>Aucune</t>
        </is>
      </c>
    </row>
    <row r="31">
      <c r="A31" t="inlineStr">
        <is>
          <t>Poissons</t>
        </is>
      </c>
      <c r="B31" t="inlineStr">
        <is>
          <t>Alrescha</t>
        </is>
      </c>
      <c r="C31" s="4" t="n">
        <v>29.38</v>
      </c>
      <c r="D31" s="4" t="n">
        <v>-9.06</v>
      </c>
      <c r="E31" s="4">
        <f>MOD(Phase-C31+180,360)-180</f>
        <v/>
      </c>
      <c r="F31" s="10" t="inlineStr">
        <is>
          <t>Aoraki / mont Cook</t>
        </is>
      </c>
      <c r="G31" t="inlineStr">
        <is>
          <t>0,80</t>
        </is>
      </c>
      <c r="H31" s="10" t="inlineStr">
        <is>
          <t>Moyenne : la montagne ancêtre des Ngāi Tahu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1" customWidth="1" min="4" max="4"/>
    <col width="14" customWidth="1" min="5" max="5"/>
    <col width="12" customWidth="1" min="6" max="6"/>
    <col width="12" customWidth="1" min="7" max="7"/>
    <col width="30" customWidth="1" min="8" max="8"/>
    <col width="9" customWidth="1" min="9" max="9"/>
    <col width="22" customWidth="1" min="10" max="10"/>
    <col width="9" customWidth="1" min="11" max="11"/>
  </cols>
  <sheetData>
    <row r="1">
      <c r="A1" s="1" t="inlineStr">
        <is>
          <t>Étoiles secondaires (liste Meta AI, positions recalculées)</t>
        </is>
      </c>
    </row>
    <row r="2">
      <c r="A2" s="2" t="inlineStr">
        <is>
          <t>λ vérifiées sur coordonnées J2000 ; « Erreur Meta » = valeur Meta − valeur vérifiée.</t>
        </is>
      </c>
    </row>
    <row r="4">
      <c r="A4" s="7" t="inlineStr">
        <is>
          <t>Signe</t>
        </is>
      </c>
      <c r="B4" s="7" t="inlineStr">
        <is>
          <t>Étoile</t>
        </is>
      </c>
      <c r="C4" s="7" t="inlineStr">
        <is>
          <t>λ écliptique J2000 (°)</t>
        </is>
      </c>
      <c r="D4" s="7" t="inlineStr">
        <is>
          <t>β écliptique (°)</t>
        </is>
      </c>
      <c r="E4" s="7" t="inlineStr">
        <is>
          <t>Méridien terrestre (°, Est +)</t>
        </is>
      </c>
      <c r="F4" s="7" t="inlineStr">
        <is>
          <t>λ selon Meta AI (°)</t>
        </is>
      </c>
      <c r="G4" s="7" t="inlineStr">
        <is>
          <t>Erreur Meta (°)</t>
        </is>
      </c>
      <c r="H4" s="7" t="inlineStr">
        <is>
          <t>Ville ≥ 500 000 hab. la plus proche (φ = 198,716)</t>
        </is>
      </c>
      <c r="I4" s="7" t="inlineStr">
        <is>
          <t>Écart (°)</t>
        </is>
      </c>
      <c r="J4" s="7" t="inlineStr">
        <is>
          <t>Ville historique la plus proche</t>
        </is>
      </c>
      <c r="K4" s="7" t="inlineStr">
        <is>
          <t>Écart (°)</t>
        </is>
      </c>
    </row>
    <row r="5">
      <c r="A5" t="inlineStr">
        <is>
          <t>Bélier</t>
        </is>
      </c>
      <c r="B5" t="inlineStr">
        <is>
          <t>Mesarthim (γ Ari)</t>
        </is>
      </c>
      <c r="C5" s="4" t="n">
        <v>33.18</v>
      </c>
      <c r="D5" s="4" t="n">
        <v>7.16</v>
      </c>
      <c r="E5" s="4">
        <f>MOD(Phase-C5+180,360)-180</f>
        <v/>
      </c>
      <c r="F5" s="4" t="n">
        <v>33.8</v>
      </c>
      <c r="G5" s="4">
        <f>MOD(F5-C5+180,360)-180</f>
        <v/>
      </c>
      <c r="H5" t="inlineStr">
        <is>
          <t>Auckland</t>
        </is>
      </c>
      <c r="I5" s="4" t="n">
        <v>9.23</v>
      </c>
      <c r="J5" t="inlineStr">
        <is>
          <t>Ise</t>
        </is>
      </c>
      <c r="K5" s="4" t="n">
        <v>28.81</v>
      </c>
    </row>
    <row r="6">
      <c r="A6" t="inlineStr">
        <is>
          <t>Bélier</t>
        </is>
      </c>
      <c r="B6" t="inlineStr">
        <is>
          <t>Sheratan (β Ari)</t>
        </is>
      </c>
      <c r="C6" s="4" t="n">
        <v>33.97</v>
      </c>
      <c r="D6" s="4" t="n">
        <v>8.49</v>
      </c>
      <c r="E6" s="4">
        <f>MOD(Phase-C6+180,360)-180</f>
        <v/>
      </c>
      <c r="F6" s="4" t="n">
        <v>34.5</v>
      </c>
      <c r="G6" s="4">
        <f>MOD(F6-C6+180,360)-180</f>
        <v/>
      </c>
      <c r="H6" t="inlineStr">
        <is>
          <t>Auckland</t>
        </is>
      </c>
      <c r="I6" s="4" t="n">
        <v>10.02</v>
      </c>
      <c r="J6" t="inlineStr">
        <is>
          <t>Ise</t>
        </is>
      </c>
      <c r="K6" s="4" t="n">
        <v>28.02</v>
      </c>
    </row>
    <row r="7">
      <c r="A7" t="inlineStr">
        <is>
          <t>Poissons</t>
        </is>
      </c>
      <c r="B7" t="inlineStr">
        <is>
          <t>Fum al Samakah (β Psc)</t>
        </is>
      </c>
      <c r="C7" s="4" t="n">
        <v>348.59</v>
      </c>
      <c r="D7" s="4" t="n">
        <v>9.050000000000001</v>
      </c>
      <c r="E7" s="4">
        <f>MOD(Phase-C7+180,360)-180</f>
        <v/>
      </c>
      <c r="F7" s="4" t="n">
        <v>21.5</v>
      </c>
      <c r="G7" s="4">
        <f>MOD(F7-C7+180,360)-180</f>
        <v/>
      </c>
      <c r="H7" t="inlineStr">
        <is>
          <t>Vancouver</t>
        </is>
      </c>
      <c r="I7" s="4" t="n">
        <v>26.75</v>
      </c>
      <c r="J7" t="inlineStr">
        <is>
          <t>Mexico</t>
        </is>
      </c>
      <c r="K7" s="4" t="n">
        <v>50.74</v>
      </c>
    </row>
    <row r="8">
      <c r="A8" t="inlineStr">
        <is>
          <t>Gémeaux</t>
        </is>
      </c>
      <c r="B8" t="inlineStr">
        <is>
          <t>Alhena (γ Gem)</t>
        </is>
      </c>
      <c r="C8" s="4" t="n">
        <v>99.09999999999999</v>
      </c>
      <c r="D8" s="4" t="n">
        <v>-6.74</v>
      </c>
      <c r="E8" s="4">
        <f>MOD(Phase-C8+180,360)-180</f>
        <v/>
      </c>
      <c r="F8" s="4" t="n">
        <v>108.5</v>
      </c>
      <c r="G8" s="4">
        <f>MOD(F8-C8+180,360)-180</f>
        <v/>
      </c>
      <c r="H8" t="inlineStr">
        <is>
          <t>Baoshan</t>
        </is>
      </c>
      <c r="I8" s="4" t="n">
        <v>0.45</v>
      </c>
      <c r="J8" t="inlineStr">
        <is>
          <t>Angkor</t>
        </is>
      </c>
      <c r="K8" s="4" t="n">
        <v>4.25</v>
      </c>
    </row>
    <row r="9">
      <c r="A9" t="inlineStr">
        <is>
          <t>Cancer</t>
        </is>
      </c>
      <c r="B9" t="inlineStr">
        <is>
          <t>Asellus Borealis (γ Cnc)</t>
        </is>
      </c>
      <c r="C9" s="4" t="n">
        <v>127.54</v>
      </c>
      <c r="D9" s="4" t="n">
        <v>3.19</v>
      </c>
      <c r="E9" s="4">
        <f>MOD(Phase-C9+180,360)-180</f>
        <v/>
      </c>
      <c r="F9" s="4" t="n">
        <v>127.8</v>
      </c>
      <c r="G9" s="4">
        <f>MOD(F9-C9+180,360)-180</f>
        <v/>
      </c>
      <c r="H9" t="inlineStr">
        <is>
          <t>Jalalpur Pirwala</t>
        </is>
      </c>
      <c r="I9" s="4" t="n">
        <v>0.05</v>
      </c>
      <c r="J9" t="inlineStr">
        <is>
          <t>Samarcande</t>
        </is>
      </c>
      <c r="K9" s="4" t="n">
        <v>4.21</v>
      </c>
    </row>
    <row r="10">
      <c r="A10" t="inlineStr">
        <is>
          <t>Lion</t>
        </is>
      </c>
      <c r="B10" t="inlineStr">
        <is>
          <t>Zosma (δ Leo)</t>
        </is>
      </c>
      <c r="C10" s="4" t="n">
        <v>161.32</v>
      </c>
      <c r="D10" s="4" t="n">
        <v>14.33</v>
      </c>
      <c r="E10" s="4">
        <f>MOD(Phase-C10+180,360)-180</f>
        <v/>
      </c>
      <c r="F10" s="4" t="n">
        <v>162.5</v>
      </c>
      <c r="G10" s="4">
        <f>MOD(F10-C10+180,360)-180</f>
        <v/>
      </c>
      <c r="H10" t="inlineStr">
        <is>
          <t>Gaziantep</t>
        </is>
      </c>
      <c r="I10" s="4" t="n">
        <v>0.01</v>
      </c>
      <c r="J10" t="inlineStr">
        <is>
          <t>Moscou</t>
        </is>
      </c>
      <c r="K10" s="4" t="n">
        <v>0.22</v>
      </c>
    </row>
    <row r="11">
      <c r="A11" t="inlineStr">
        <is>
          <t>Vierge</t>
        </is>
      </c>
      <c r="B11" t="inlineStr">
        <is>
          <t>Zavijava (β Vir)</t>
        </is>
      </c>
      <c r="C11" s="4" t="n">
        <v>177.16</v>
      </c>
      <c r="D11" s="4" t="n">
        <v>0.6899999999999999</v>
      </c>
      <c r="E11" s="4">
        <f>MOD(Phase-C11+180,360)-180</f>
        <v/>
      </c>
      <c r="F11" s="4" t="n">
        <v>186.5</v>
      </c>
      <c r="G11" s="4">
        <f>MOD(F11-C11+180,360)-180</f>
        <v/>
      </c>
      <c r="H11" t="inlineStr">
        <is>
          <t>Pristina</t>
        </is>
      </c>
      <c r="I11" s="4" t="n">
        <v>0.39</v>
      </c>
      <c r="J11" t="inlineStr">
        <is>
          <t>Delphes</t>
        </is>
      </c>
      <c r="K11" s="4" t="n">
        <v>0.9399999999999999</v>
      </c>
    </row>
    <row r="12">
      <c r="A12" t="inlineStr">
        <is>
          <t>Vierge</t>
        </is>
      </c>
      <c r="B12" t="inlineStr">
        <is>
          <t>Porrima (γ Vir)</t>
        </is>
      </c>
      <c r="C12" s="4" t="n">
        <v>190.14</v>
      </c>
      <c r="D12" s="4" t="n">
        <v>2.79</v>
      </c>
      <c r="E12" s="4">
        <f>MOD(Phase-C12+180,360)-180</f>
        <v/>
      </c>
      <c r="F12" s="4" t="n">
        <v>185.2</v>
      </c>
      <c r="G12" s="4">
        <f>MOD(F12-C12+180,360)-180</f>
        <v/>
      </c>
      <c r="H12" t="inlineStr">
        <is>
          <t>Kano</t>
        </is>
      </c>
      <c r="I12" s="4" t="n">
        <v>0.06</v>
      </c>
      <c r="J12" t="inlineStr">
        <is>
          <t>Carthage</t>
        </is>
      </c>
      <c r="K12" s="4" t="n">
        <v>1.74</v>
      </c>
    </row>
    <row r="13">
      <c r="A13" t="inlineStr">
        <is>
          <t>Vierge</t>
        </is>
      </c>
      <c r="B13" t="inlineStr">
        <is>
          <t>Auva (δ Vir)</t>
        </is>
      </c>
      <c r="C13" s="4" t="n">
        <v>191.46</v>
      </c>
      <c r="D13" s="4" t="n">
        <v>8.609999999999999</v>
      </c>
      <c r="E13" s="4">
        <f>MOD(Phase-C13+180,360)-180</f>
        <v/>
      </c>
      <c r="F13" s="4" t="n">
        <v>198.5</v>
      </c>
      <c r="G13" s="4">
        <f>MOD(F13-C13+180,360)-180</f>
        <v/>
      </c>
      <c r="H13" t="inlineStr">
        <is>
          <t>Aba</t>
        </is>
      </c>
      <c r="I13" s="4" t="n">
        <v>0.11</v>
      </c>
      <c r="J13" t="inlineStr">
        <is>
          <t>Aix-la-Chapelle</t>
        </is>
      </c>
      <c r="K13" s="4" t="n">
        <v>1.18</v>
      </c>
    </row>
    <row r="14">
      <c r="A14" t="inlineStr">
        <is>
          <t>Balance</t>
        </is>
      </c>
      <c r="B14" t="inlineStr">
        <is>
          <t>Zubenelakrab (γ Lib)</t>
        </is>
      </c>
      <c r="C14" s="4" t="n">
        <v>235.14</v>
      </c>
      <c r="D14" s="4" t="n">
        <v>4.39</v>
      </c>
      <c r="E14" s="4">
        <f>MOD(Phase-C14+180,360)-180</f>
        <v/>
      </c>
      <c r="F14" s="4" t="n">
        <v>233.88</v>
      </c>
      <c r="G14" s="4">
        <f>MOD(F14-C14+180,360)-180</f>
        <v/>
      </c>
      <c r="H14" t="inlineStr">
        <is>
          <t>Aracaju</t>
        </is>
      </c>
      <c r="I14" s="4" t="n">
        <v>0.65</v>
      </c>
      <c r="J14" t="inlineStr">
        <is>
          <t>Saint-Jacques</t>
        </is>
      </c>
      <c r="K14" s="4" t="n">
        <v>27.88</v>
      </c>
    </row>
    <row r="15">
      <c r="A15" t="inlineStr">
        <is>
          <t>Scorpion</t>
        </is>
      </c>
      <c r="B15" t="inlineStr">
        <is>
          <t>Dschubba (δ Sco)</t>
        </is>
      </c>
      <c r="C15" s="4" t="n">
        <v>242.57</v>
      </c>
      <c r="D15" s="4" t="n">
        <v>-1.99</v>
      </c>
      <c r="E15" s="4">
        <f>MOD(Phase-C15+180,360)-180</f>
        <v/>
      </c>
      <c r="F15" s="4" t="n">
        <v>240.2</v>
      </c>
      <c r="G15" s="4">
        <f>MOD(F15-C15+180,360)-180</f>
        <v/>
      </c>
      <c r="H15" t="inlineStr">
        <is>
          <t>Belo Horizonte</t>
        </is>
      </c>
      <c r="I15" s="4" t="n">
        <v>0.08</v>
      </c>
      <c r="J15" t="inlineStr">
        <is>
          <t>Cusco</t>
        </is>
      </c>
      <c r="K15" s="4" t="n">
        <v>28.12</v>
      </c>
    </row>
    <row r="16">
      <c r="A16" t="inlineStr">
        <is>
          <t>Ophiuchus</t>
        </is>
      </c>
      <c r="B16" t="inlineStr">
        <is>
          <t>Cebalrai (β Oph)</t>
        </is>
      </c>
      <c r="C16" s="4" t="n">
        <v>265.34</v>
      </c>
      <c r="D16" s="4" t="n">
        <v>27.94</v>
      </c>
      <c r="E16" s="4">
        <f>MOD(Phase-C16+180,360)-180</f>
        <v/>
      </c>
      <c r="F16" s="4" t="n">
        <v>260.3</v>
      </c>
      <c r="G16" s="4">
        <f>MOD(F16-C16+180,360)-180</f>
        <v/>
      </c>
      <c r="H16" t="inlineStr">
        <is>
          <t>Caracas</t>
        </is>
      </c>
      <c r="I16" s="4" t="n">
        <v>0.26</v>
      </c>
      <c r="J16" t="inlineStr">
        <is>
          <t>Cusco</t>
        </is>
      </c>
      <c r="K16" s="4" t="n">
        <v>5.35</v>
      </c>
    </row>
    <row r="17">
      <c r="A17" t="inlineStr">
        <is>
          <t>Scorpion</t>
        </is>
      </c>
      <c r="B17" t="inlineStr">
        <is>
          <t>Sargas (θ Sco)</t>
        </is>
      </c>
      <c r="C17" s="4" t="n">
        <v>265.6</v>
      </c>
      <c r="D17" s="4" t="n">
        <v>-19.65</v>
      </c>
      <c r="E17" s="4">
        <f>MOD(Phase-C17+180,360)-180</f>
        <v/>
      </c>
      <c r="F17" s="4" t="n">
        <v>261.5</v>
      </c>
      <c r="G17" s="4">
        <f>MOD(F17-C17+180,360)-180</f>
        <v/>
      </c>
      <c r="H17" t="inlineStr">
        <is>
          <t>Caracas</t>
        </is>
      </c>
      <c r="I17" s="4" t="n">
        <v>0</v>
      </c>
      <c r="J17" t="inlineStr">
        <is>
          <t>Cusco</t>
        </is>
      </c>
      <c r="K17" s="4" t="n">
        <v>5.09</v>
      </c>
    </row>
    <row r="18">
      <c r="A18" t="inlineStr">
        <is>
          <t>Sagittaire</t>
        </is>
      </c>
      <c r="B18" t="inlineStr">
        <is>
          <t>Kaus Borealis (λ Sgr)</t>
        </is>
      </c>
      <c r="C18" s="4" t="n">
        <v>276.32</v>
      </c>
      <c r="D18" s="4" t="n">
        <v>-2.14</v>
      </c>
      <c r="E18" s="4">
        <f>MOD(Phase-C18+180,360)-180</f>
        <v/>
      </c>
      <c r="F18" s="4" t="n">
        <v>280.2</v>
      </c>
      <c r="G18" s="4">
        <f>MOD(F18-C18+180,360)-180</f>
        <v/>
      </c>
      <c r="H18" t="inlineStr">
        <is>
          <t>Callao</t>
        </is>
      </c>
      <c r="I18" s="4" t="n">
        <v>0.47</v>
      </c>
      <c r="J18" t="inlineStr">
        <is>
          <t>Washington</t>
        </is>
      </c>
      <c r="K18" s="4" t="n">
        <v>0.5600000000000001</v>
      </c>
    </row>
    <row r="19">
      <c r="A19" t="inlineStr">
        <is>
          <t>Sagittaire</t>
        </is>
      </c>
      <c r="B19" t="inlineStr">
        <is>
          <t>Ascella (ζ Sgr)</t>
        </is>
      </c>
      <c r="C19" s="4" t="n">
        <v>283.64</v>
      </c>
      <c r="D19" s="4" t="n">
        <v>-7.18</v>
      </c>
      <c r="E19" s="4">
        <f>MOD(Phase-C19+180,360)-180</f>
        <v/>
      </c>
      <c r="F19" s="4" t="n">
        <v>291.2</v>
      </c>
      <c r="G19" s="4">
        <f>MOD(F19-C19+180,360)-180</f>
        <v/>
      </c>
      <c r="H19" t="inlineStr">
        <is>
          <t>Atlanta</t>
        </is>
      </c>
      <c r="I19" s="4" t="n">
        <v>0.54</v>
      </c>
      <c r="J19" t="inlineStr">
        <is>
          <t>Chichén Itzá</t>
        </is>
      </c>
      <c r="K19" s="4" t="n">
        <v>3.65</v>
      </c>
    </row>
    <row r="20">
      <c r="A20" t="inlineStr">
        <is>
          <t>Capricorne</t>
        </is>
      </c>
      <c r="B20" t="inlineStr">
        <is>
          <t>Nashira (γ Cap)</t>
        </is>
      </c>
      <c r="C20" s="4" t="n">
        <v>321.79</v>
      </c>
      <c r="D20" s="4" t="n">
        <v>-2.56</v>
      </c>
      <c r="E20" s="4">
        <f>MOD(Phase-C20+180,360)-180</f>
        <v/>
      </c>
      <c r="F20" s="4" t="n">
        <v>307.5</v>
      </c>
      <c r="G20" s="4">
        <f>MOD(F20-C20+180,360)-180</f>
        <v/>
      </c>
      <c r="H20" t="inlineStr">
        <is>
          <t>Vancouver</t>
        </is>
      </c>
      <c r="I20" s="4" t="n">
        <v>0.05</v>
      </c>
      <c r="J20" t="inlineStr">
        <is>
          <t>Mexico</t>
        </is>
      </c>
      <c r="K20" s="4" t="n">
        <v>23.94</v>
      </c>
    </row>
    <row r="21">
      <c r="A21" t="inlineStr">
        <is>
          <t>Verseau</t>
        </is>
      </c>
      <c r="B21" t="inlineStr">
        <is>
          <t>Sadachbia (γ Aqr)</t>
        </is>
      </c>
      <c r="C21" s="4" t="n">
        <v>336.71</v>
      </c>
      <c r="D21" s="4" t="n">
        <v>8.24</v>
      </c>
      <c r="E21" s="4">
        <f>MOD(Phase-C21+180,360)-180</f>
        <v/>
      </c>
      <c r="F21" s="4" t="n">
        <v>318.5</v>
      </c>
      <c r="G21" s="4">
        <f>MOD(F21-C21+180,360)-180</f>
        <v/>
      </c>
      <c r="H21" t="inlineStr">
        <is>
          <t>Vancouver</t>
        </is>
      </c>
      <c r="I21" s="4" t="n">
        <v>14.87</v>
      </c>
      <c r="J21" t="inlineStr">
        <is>
          <t>Mexico</t>
        </is>
      </c>
      <c r="K21" s="4" t="n">
        <v>38.86</v>
      </c>
    </row>
    <row r="22">
      <c r="A22" t="inlineStr">
        <is>
          <t>Verseau</t>
        </is>
      </c>
      <c r="B22" t="inlineStr">
        <is>
          <t>Skat (δ Aqr)</t>
        </is>
      </c>
      <c r="C22" s="4" t="n">
        <v>338.87</v>
      </c>
      <c r="D22" s="4" t="n">
        <v>-8.19</v>
      </c>
      <c r="E22" s="4">
        <f>MOD(Phase-C22+180,360)-180</f>
        <v/>
      </c>
      <c r="F22" s="4" t="n">
        <v>326</v>
      </c>
      <c r="G22" s="4">
        <f>MOD(F22-C22+180,360)-180</f>
        <v/>
      </c>
      <c r="H22" t="inlineStr">
        <is>
          <t>Vancouver</t>
        </is>
      </c>
      <c r="I22" s="4" t="n">
        <v>17.03</v>
      </c>
      <c r="J22" t="inlineStr">
        <is>
          <t>Mexico</t>
        </is>
      </c>
      <c r="K22" s="4" t="n">
        <v>41.02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6" customWidth="1" min="5" max="5"/>
    <col width="16" customWidth="1" min="6" max="6"/>
  </cols>
  <sheetData>
    <row r="1">
      <c r="A1" s="1" t="inlineStr">
        <is>
          <t>Secteurs zodiacaux (limites UAI) et projection terrestre</t>
        </is>
      </c>
    </row>
    <row r="2">
      <c r="A2" s="2" t="inlineStr">
        <is>
          <t>En sens inverse, le début écliptique d'un signe correspond à sa limite Est sur Terre.</t>
        </is>
      </c>
    </row>
    <row r="4">
      <c r="A4" s="7" t="inlineStr">
        <is>
          <t>Signe</t>
        </is>
      </c>
      <c r="B4" s="7" t="inlineStr">
        <is>
          <t>λ début (°)</t>
        </is>
      </c>
      <c r="C4" s="7" t="inlineStr">
        <is>
          <t>λ fin (°)</t>
        </is>
      </c>
      <c r="D4" s="7" t="inlineStr">
        <is>
          <t>Largeur (°)</t>
        </is>
      </c>
      <c r="E4" s="7" t="inlineStr">
        <is>
          <t>Limite Ouest (°, Est +)</t>
        </is>
      </c>
      <c r="F4" s="7" t="inlineStr">
        <is>
          <t>Limite Est (°, Est +)</t>
        </is>
      </c>
    </row>
    <row r="5">
      <c r="A5" t="inlineStr">
        <is>
          <t>Bélier</t>
        </is>
      </c>
      <c r="B5" s="4" t="n">
        <v>29.09</v>
      </c>
      <c r="C5" s="4" t="n">
        <v>53.47</v>
      </c>
      <c r="D5" s="4">
        <f>C5-B5</f>
        <v/>
      </c>
      <c r="E5" s="4">
        <f>MOD(Phase-C5+180,360)-180</f>
        <v/>
      </c>
      <c r="F5" s="4">
        <f>MOD(Phase-B5+180,360)-180</f>
        <v/>
      </c>
    </row>
    <row r="6">
      <c r="A6" t="inlineStr">
        <is>
          <t>Taureau</t>
        </is>
      </c>
      <c r="B6" s="4" t="n">
        <v>53.47</v>
      </c>
      <c r="C6" s="4" t="n">
        <v>90.43000000000001</v>
      </c>
      <c r="D6" s="4">
        <f>C6-B6</f>
        <v/>
      </c>
      <c r="E6" s="4">
        <f>MOD(Phase-C6+180,360)-180</f>
        <v/>
      </c>
      <c r="F6" s="4">
        <f>MOD(Phase-B6+180,360)-180</f>
        <v/>
      </c>
    </row>
    <row r="7">
      <c r="A7" t="inlineStr">
        <is>
          <t>Gémeaux</t>
        </is>
      </c>
      <c r="B7" s="4" t="n">
        <v>90.43000000000001</v>
      </c>
      <c r="C7" s="4" t="n">
        <v>118.26</v>
      </c>
      <c r="D7" s="4">
        <f>C7-B7</f>
        <v/>
      </c>
      <c r="E7" s="4">
        <f>MOD(Phase-C7+180,360)-180</f>
        <v/>
      </c>
      <c r="F7" s="4">
        <f>MOD(Phase-B7+180,360)-180</f>
        <v/>
      </c>
    </row>
    <row r="8">
      <c r="A8" t="inlineStr">
        <is>
          <t>Cancer</t>
        </is>
      </c>
      <c r="B8" s="4" t="n">
        <v>118.26</v>
      </c>
      <c r="C8" s="4" t="n">
        <v>138.18</v>
      </c>
      <c r="D8" s="4">
        <f>C8-B8</f>
        <v/>
      </c>
      <c r="E8" s="4">
        <f>MOD(Phase-C8+180,360)-180</f>
        <v/>
      </c>
      <c r="F8" s="4">
        <f>MOD(Phase-B8+180,360)-180</f>
        <v/>
      </c>
    </row>
    <row r="9">
      <c r="A9" t="inlineStr">
        <is>
          <t>Lion</t>
        </is>
      </c>
      <c r="B9" s="4" t="n">
        <v>138.18</v>
      </c>
      <c r="C9" s="4" t="n">
        <v>174.15</v>
      </c>
      <c r="D9" s="4">
        <f>C9-B9</f>
        <v/>
      </c>
      <c r="E9" s="4">
        <f>MOD(Phase-C9+180,360)-180</f>
        <v/>
      </c>
      <c r="F9" s="4">
        <f>MOD(Phase-B9+180,360)-180</f>
        <v/>
      </c>
    </row>
    <row r="10">
      <c r="A10" t="inlineStr">
        <is>
          <t>Vierge</t>
        </is>
      </c>
      <c r="B10" s="4" t="n">
        <v>174.15</v>
      </c>
      <c r="C10" s="4" t="n">
        <v>218.13</v>
      </c>
      <c r="D10" s="4">
        <f>C10-B10</f>
        <v/>
      </c>
      <c r="E10" s="4">
        <f>MOD(Phase-C10+180,360)-180</f>
        <v/>
      </c>
      <c r="F10" s="4">
        <f>MOD(Phase-B10+180,360)-180</f>
        <v/>
      </c>
    </row>
    <row r="11">
      <c r="A11" t="inlineStr">
        <is>
          <t>Balance</t>
        </is>
      </c>
      <c r="B11" s="4" t="n">
        <v>218.13</v>
      </c>
      <c r="C11" s="4" t="n">
        <v>241.05</v>
      </c>
      <c r="D11" s="4">
        <f>C11-B11</f>
        <v/>
      </c>
      <c r="E11" s="4">
        <f>MOD(Phase-C11+180,360)-180</f>
        <v/>
      </c>
      <c r="F11" s="4">
        <f>MOD(Phase-B11+180,360)-180</f>
        <v/>
      </c>
    </row>
    <row r="12">
      <c r="A12" t="inlineStr">
        <is>
          <t>Scorpion</t>
        </is>
      </c>
      <c r="B12" s="4" t="n">
        <v>241.05</v>
      </c>
      <c r="C12" s="4" t="n">
        <v>247.68</v>
      </c>
      <c r="D12" s="4">
        <f>C12-B12</f>
        <v/>
      </c>
      <c r="E12" s="4">
        <f>MOD(Phase-C12+180,360)-180</f>
        <v/>
      </c>
      <c r="F12" s="4">
        <f>MOD(Phase-B12+180,360)-180</f>
        <v/>
      </c>
    </row>
    <row r="13">
      <c r="A13" t="inlineStr">
        <is>
          <t>Ophiuchus</t>
        </is>
      </c>
      <c r="B13" s="4" t="n">
        <v>247.68</v>
      </c>
      <c r="C13" s="4" t="n">
        <v>266.25</v>
      </c>
      <c r="D13" s="4">
        <f>C13-B13</f>
        <v/>
      </c>
      <c r="E13" s="4">
        <f>MOD(Phase-C13+180,360)-180</f>
        <v/>
      </c>
      <c r="F13" s="4">
        <f>MOD(Phase-B13+180,360)-180</f>
        <v/>
      </c>
    </row>
    <row r="14">
      <c r="A14" t="inlineStr">
        <is>
          <t>Sagittaire</t>
        </is>
      </c>
      <c r="B14" s="4" t="n">
        <v>266.25</v>
      </c>
      <c r="C14" s="4" t="n">
        <v>299.71</v>
      </c>
      <c r="D14" s="4">
        <f>C14-B14</f>
        <v/>
      </c>
      <c r="E14" s="4">
        <f>MOD(Phase-C14+180,360)-180</f>
        <v/>
      </c>
      <c r="F14" s="4">
        <f>MOD(Phase-B14+180,360)-180</f>
        <v/>
      </c>
    </row>
    <row r="15">
      <c r="A15" t="inlineStr">
        <is>
          <t>Capricorne</t>
        </is>
      </c>
      <c r="B15" s="4" t="n">
        <v>299.71</v>
      </c>
      <c r="C15" s="4" t="n">
        <v>327.88</v>
      </c>
      <c r="D15" s="4">
        <f>C15-B15</f>
        <v/>
      </c>
      <c r="E15" s="4">
        <f>MOD(Phase-C15+180,360)-180</f>
        <v/>
      </c>
      <c r="F15" s="4">
        <f>MOD(Phase-B15+180,360)-180</f>
        <v/>
      </c>
    </row>
    <row r="16">
      <c r="A16" t="inlineStr">
        <is>
          <t>Verseau</t>
        </is>
      </c>
      <c r="B16" s="4" t="n">
        <v>327.88</v>
      </c>
      <c r="C16" s="4" t="n">
        <v>351.57</v>
      </c>
      <c r="D16" s="4">
        <f>C16-B16</f>
        <v/>
      </c>
      <c r="E16" s="4">
        <f>MOD(Phase-C16+180,360)-180</f>
        <v/>
      </c>
      <c r="F16" s="4">
        <f>MOD(Phase-B16+180,360)-180</f>
        <v/>
      </c>
    </row>
    <row r="17">
      <c r="A17" t="inlineStr">
        <is>
          <t>Poissons</t>
        </is>
      </c>
      <c r="B17" s="4" t="n">
        <v>351.57</v>
      </c>
      <c r="C17" s="4" t="n">
        <v>389.09</v>
      </c>
      <c r="D17" s="4">
        <f>C17-B17</f>
        <v/>
      </c>
      <c r="E17" s="4">
        <f>MOD(Phase-C17+180,360)-180</f>
        <v/>
      </c>
      <c r="F17" s="4">
        <f>MOD(Phase-B17+180,360)-180</f>
        <v/>
      </c>
    </row>
    <row r="19">
      <c r="A19" t="inlineStr">
        <is>
          <t>Les bornes du Poissons dépassent 360° (351,57 → 389,09) pour rester continues à travers 0° Bélier.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30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Le calage par moindres carrés</t>
        </is>
      </c>
    </row>
    <row r="2">
      <c r="A2" s="2" t="inlineStr">
        <is>
          <t>Chaque étoile face au lieu de référence le plus proche ; φ* est la phase qui rend minimale la somme des carrés. Le lieu le plus proche change avec φ : les colonnes C-D valent pour φ = 198,716.</t>
        </is>
      </c>
    </row>
    <row r="4">
      <c r="A4" s="7" t="inlineStr">
        <is>
          <t>Étoile</t>
        </is>
      </c>
      <c r="B4" s="7" t="inlineStr">
        <is>
          <t>λ écliptique (°)</t>
        </is>
      </c>
      <c r="C4" s="7" t="inlineStr">
        <is>
          <t>Lieu de référence le plus proche</t>
        </is>
      </c>
      <c r="D4" s="7" t="inlineStr">
        <is>
          <t>Longitude du lieu (°, Est +)</t>
        </is>
      </c>
      <c r="E4" s="7" t="inlineStr">
        <is>
          <t>Méridien de l'étoile (°)</t>
        </is>
      </c>
      <c r="F4" s="7" t="inlineStr">
        <is>
          <t>Écart (°)</t>
        </is>
      </c>
      <c r="G4" s="7" t="inlineStr">
        <is>
          <t>Carré de l'écart</t>
        </is>
      </c>
    </row>
    <row r="5">
      <c r="A5" t="inlineStr">
        <is>
          <t>Hamal</t>
        </is>
      </c>
      <c r="B5" s="4" t="n">
        <v>37.662</v>
      </c>
      <c r="C5" t="inlineStr">
        <is>
          <t>Ise</t>
        </is>
      </c>
      <c r="D5" s="4" t="n">
        <v>136.73</v>
      </c>
      <c r="E5" s="4">
        <f>MOD(Phase-B5+180,360)-180</f>
        <v/>
      </c>
      <c r="F5" s="4">
        <f>MOD(E5-D5+180,360)-180</f>
        <v/>
      </c>
      <c r="G5" s="4">
        <f>F5^2</f>
        <v/>
      </c>
    </row>
    <row r="6">
      <c r="A6" t="inlineStr">
        <is>
          <t>Alcyone</t>
        </is>
      </c>
      <c r="B6" s="4" t="n">
        <v>59.992</v>
      </c>
      <c r="C6" t="inlineStr">
        <is>
          <t>Ise</t>
        </is>
      </c>
      <c r="D6" s="4" t="n">
        <v>136.73</v>
      </c>
      <c r="E6" s="4">
        <f>MOD(Phase-B6+180,360)-180</f>
        <v/>
      </c>
      <c r="F6" s="4">
        <f>MOD(E6-D6+180,360)-180</f>
        <v/>
      </c>
      <c r="G6" s="4">
        <f>F6^2</f>
        <v/>
      </c>
    </row>
    <row r="7">
      <c r="A7" t="inlineStr">
        <is>
          <t>Aldebaran</t>
        </is>
      </c>
      <c r="B7" s="4" t="n">
        <v>69.789</v>
      </c>
      <c r="C7" t="inlineStr">
        <is>
          <t>Kyoto</t>
        </is>
      </c>
      <c r="D7" s="4" t="n">
        <v>135.77</v>
      </c>
      <c r="E7" s="4">
        <f>MOD(Phase-B7+180,360)-180</f>
        <v/>
      </c>
      <c r="F7" s="4">
        <f>MOD(E7-D7+180,360)-180</f>
        <v/>
      </c>
      <c r="G7" s="4">
        <f>F7^2</f>
        <v/>
      </c>
    </row>
    <row r="8">
      <c r="A8" t="inlineStr">
        <is>
          <t>Elnath</t>
        </is>
      </c>
      <c r="B8" s="4" t="n">
        <v>82.575</v>
      </c>
      <c r="C8" t="inlineStr">
        <is>
          <t>Pékin</t>
        </is>
      </c>
      <c r="D8" s="4" t="n">
        <v>116.4</v>
      </c>
      <c r="E8" s="4">
        <f>MOD(Phase-B8+180,360)-180</f>
        <v/>
      </c>
      <c r="F8" s="4">
        <f>MOD(E8-D8+180,360)-180</f>
        <v/>
      </c>
      <c r="G8" s="4">
        <f>F8^2</f>
        <v/>
      </c>
    </row>
    <row r="9">
      <c r="A9" t="inlineStr">
        <is>
          <t>Castor</t>
        </is>
      </c>
      <c r="B9" s="4" t="n">
        <v>110.24</v>
      </c>
      <c r="C9" t="inlineStr">
        <is>
          <t>Lhassa</t>
        </is>
      </c>
      <c r="D9" s="4" t="n">
        <v>91.17</v>
      </c>
      <c r="E9" s="4">
        <f>MOD(Phase-B9+180,360)-180</f>
        <v/>
      </c>
      <c r="F9" s="4">
        <f>MOD(E9-D9+180,360)-180</f>
        <v/>
      </c>
      <c r="G9" s="4">
        <f>F9^2</f>
        <v/>
      </c>
    </row>
    <row r="10">
      <c r="A10" t="inlineStr">
        <is>
          <t>Pollux</t>
        </is>
      </c>
      <c r="B10" s="4" t="n">
        <v>113.216</v>
      </c>
      <c r="C10" t="inlineStr">
        <is>
          <t>Bodh-Gaya</t>
        </is>
      </c>
      <c r="D10" s="4" t="n">
        <v>84.98999999999999</v>
      </c>
      <c r="E10" s="4">
        <f>MOD(Phase-B10+180,360)-180</f>
        <v/>
      </c>
      <c r="F10" s="4">
        <f>MOD(E10-D10+180,360)-180</f>
        <v/>
      </c>
      <c r="G10" s="4">
        <f>F10^2</f>
        <v/>
      </c>
    </row>
    <row r="11">
      <c r="A11" t="inlineStr">
        <is>
          <t>Asellus Australis</t>
        </is>
      </c>
      <c r="B11" s="4" t="n">
        <v>128.722</v>
      </c>
      <c r="C11" t="inlineStr">
        <is>
          <t>Samarcande</t>
        </is>
      </c>
      <c r="D11" s="4" t="n">
        <v>66.97</v>
      </c>
      <c r="E11" s="4">
        <f>MOD(Phase-B11+180,360)-180</f>
        <v/>
      </c>
      <c r="F11" s="4">
        <f>MOD(E11-D11+180,360)-180</f>
        <v/>
      </c>
      <c r="G11" s="4">
        <f>F11^2</f>
        <v/>
      </c>
    </row>
    <row r="12">
      <c r="A12" t="inlineStr">
        <is>
          <t>Acubens</t>
        </is>
      </c>
      <c r="B12" s="4" t="n">
        <v>133.642</v>
      </c>
      <c r="C12" t="inlineStr">
        <is>
          <t>Boukhara</t>
        </is>
      </c>
      <c r="D12" s="4" t="n">
        <v>64.42</v>
      </c>
      <c r="E12" s="4">
        <f>MOD(Phase-B12+180,360)-180</f>
        <v/>
      </c>
      <c r="F12" s="4">
        <f>MOD(E12-D12+180,360)-180</f>
        <v/>
      </c>
      <c r="G12" s="4">
        <f>F12^2</f>
        <v/>
      </c>
    </row>
    <row r="13">
      <c r="A13" t="inlineStr">
        <is>
          <t>Regulus</t>
        </is>
      </c>
      <c r="B13" s="4" t="n">
        <v>149.829</v>
      </c>
      <c r="C13" t="inlineStr">
        <is>
          <t>Ispahan</t>
        </is>
      </c>
      <c r="D13" s="4" t="n">
        <v>51.67</v>
      </c>
      <c r="E13" s="4">
        <f>MOD(Phase-B13+180,360)-180</f>
        <v/>
      </c>
      <c r="F13" s="4">
        <f>MOD(E13-D13+180,360)-180</f>
        <v/>
      </c>
      <c r="G13" s="4">
        <f>F13^2</f>
        <v/>
      </c>
    </row>
    <row r="14">
      <c r="A14" t="inlineStr">
        <is>
          <t>Algieba</t>
        </is>
      </c>
      <c r="B14" s="4" t="n">
        <v>149.615</v>
      </c>
      <c r="C14" t="inlineStr">
        <is>
          <t>Ispahan</t>
        </is>
      </c>
      <c r="D14" s="4" t="n">
        <v>51.67</v>
      </c>
      <c r="E14" s="4">
        <f>MOD(Phase-B14+180,360)-180</f>
        <v/>
      </c>
      <c r="F14" s="4">
        <f>MOD(E14-D14+180,360)-180</f>
        <v/>
      </c>
      <c r="G14" s="4">
        <f>F14^2</f>
        <v/>
      </c>
    </row>
    <row r="15">
      <c r="A15" t="inlineStr">
        <is>
          <t>Denebola</t>
        </is>
      </c>
      <c r="B15" s="4" t="n">
        <v>171.618</v>
      </c>
      <c r="C15" t="inlineStr">
        <is>
          <t>Istanbul</t>
        </is>
      </c>
      <c r="D15" s="4" t="n">
        <v>28.98</v>
      </c>
      <c r="E15" s="4">
        <f>MOD(Phase-B15+180,360)-180</f>
        <v/>
      </c>
      <c r="F15" s="4">
        <f>MOD(E15-D15+180,360)-180</f>
        <v/>
      </c>
      <c r="G15" s="4">
        <f>F15^2</f>
        <v/>
      </c>
    </row>
    <row r="16">
      <c r="A16" t="inlineStr">
        <is>
          <t>Vindemiatrix</t>
        </is>
      </c>
      <c r="B16" s="4" t="n">
        <v>189.94</v>
      </c>
      <c r="C16" t="inlineStr">
        <is>
          <t>Carthage</t>
        </is>
      </c>
      <c r="D16" s="4" t="n">
        <v>10.32</v>
      </c>
      <c r="E16" s="4">
        <f>MOD(Phase-B16+180,360)-180</f>
        <v/>
      </c>
      <c r="F16" s="4">
        <f>MOD(E16-D16+180,360)-180</f>
        <v/>
      </c>
      <c r="G16" s="4">
        <f>F16^2</f>
        <v/>
      </c>
    </row>
    <row r="17">
      <c r="A17" t="inlineStr">
        <is>
          <t>Spica</t>
        </is>
      </c>
      <c r="B17" s="4" t="n">
        <v>203.841</v>
      </c>
      <c r="C17" t="inlineStr">
        <is>
          <t>Cordoue</t>
        </is>
      </c>
      <c r="D17" s="4" t="n">
        <v>-4.78</v>
      </c>
      <c r="E17" s="4">
        <f>MOD(Phase-B17+180,360)-180</f>
        <v/>
      </c>
      <c r="F17" s="4">
        <f>MOD(E17-D17+180,360)-180</f>
        <v/>
      </c>
      <c r="G17" s="4">
        <f>F17^2</f>
        <v/>
      </c>
    </row>
    <row r="18">
      <c r="A18" t="inlineStr">
        <is>
          <t>Zubenelgenubi</t>
        </is>
      </c>
      <c r="B18" s="4" t="n">
        <v>225.083</v>
      </c>
      <c r="C18" t="inlineStr">
        <is>
          <t>Saint-Jacques</t>
        </is>
      </c>
      <c r="D18" s="4" t="n">
        <v>-8.539999999999999</v>
      </c>
      <c r="E18" s="4">
        <f>MOD(Phase-B18+180,360)-180</f>
        <v/>
      </c>
      <c r="F18" s="4">
        <f>MOD(E18-D18+180,360)-180</f>
        <v/>
      </c>
      <c r="G18" s="4">
        <f>F18^2</f>
        <v/>
      </c>
    </row>
    <row r="19">
      <c r="A19" t="inlineStr">
        <is>
          <t>Zubeneschamali</t>
        </is>
      </c>
      <c r="B19" s="4" t="n">
        <v>229.372</v>
      </c>
      <c r="C19" t="inlineStr">
        <is>
          <t>Saint-Jacques</t>
        </is>
      </c>
      <c r="D19" s="4" t="n">
        <v>-8.539999999999999</v>
      </c>
      <c r="E19" s="4">
        <f>MOD(Phase-B19+180,360)-180</f>
        <v/>
      </c>
      <c r="F19" s="4">
        <f>MOD(E19-D19+180,360)-180</f>
        <v/>
      </c>
      <c r="G19" s="4">
        <f>F19^2</f>
        <v/>
      </c>
    </row>
    <row r="20">
      <c r="A20" t="inlineStr">
        <is>
          <t>Antares</t>
        </is>
      </c>
      <c r="B20" s="4" t="n">
        <v>249.762</v>
      </c>
      <c r="C20" t="inlineStr">
        <is>
          <t>Cusco</t>
        </is>
      </c>
      <c r="D20" s="4" t="n">
        <v>-71.97</v>
      </c>
      <c r="E20" s="4">
        <f>MOD(Phase-B20+180,360)-180</f>
        <v/>
      </c>
      <c r="F20" s="4">
        <f>MOD(E20-D20+180,360)-180</f>
        <v/>
      </c>
      <c r="G20" s="4">
        <f>F20^2</f>
        <v/>
      </c>
    </row>
    <row r="21">
      <c r="A21" t="inlineStr">
        <is>
          <t>Shaula</t>
        </is>
      </c>
      <c r="B21" s="4" t="n">
        <v>264.586</v>
      </c>
      <c r="C21" t="inlineStr">
        <is>
          <t>Cusco</t>
        </is>
      </c>
      <c r="D21" s="4" t="n">
        <v>-71.97</v>
      </c>
      <c r="E21" s="4">
        <f>MOD(Phase-B21+180,360)-180</f>
        <v/>
      </c>
      <c r="F21" s="4">
        <f>MOD(E21-D21+180,360)-180</f>
        <v/>
      </c>
      <c r="G21" s="4">
        <f>F21^2</f>
        <v/>
      </c>
    </row>
    <row r="22">
      <c r="A22" t="inlineStr">
        <is>
          <t>Sabik</t>
        </is>
      </c>
      <c r="B22" s="4" t="n">
        <v>257.97</v>
      </c>
      <c r="C22" t="inlineStr">
        <is>
          <t>Cusco</t>
        </is>
      </c>
      <c r="D22" s="4" t="n">
        <v>-71.97</v>
      </c>
      <c r="E22" s="4">
        <f>MOD(Phase-B22+180,360)-180</f>
        <v/>
      </c>
      <c r="F22" s="4">
        <f>MOD(E22-D22+180,360)-180</f>
        <v/>
      </c>
      <c r="G22" s="4">
        <f>F22^2</f>
        <v/>
      </c>
    </row>
    <row r="23">
      <c r="A23" t="inlineStr">
        <is>
          <t>Rasalhague</t>
        </is>
      </c>
      <c r="B23" s="4" t="n">
        <v>262.449</v>
      </c>
      <c r="C23" t="inlineStr">
        <is>
          <t>Cusco</t>
        </is>
      </c>
      <c r="D23" s="4" t="n">
        <v>-71.97</v>
      </c>
      <c r="E23" s="4">
        <f>MOD(Phase-B23+180,360)-180</f>
        <v/>
      </c>
      <c r="F23" s="4">
        <f>MOD(E23-D23+180,360)-180</f>
        <v/>
      </c>
      <c r="G23" s="4">
        <f>F23^2</f>
        <v/>
      </c>
    </row>
    <row r="24">
      <c r="A24" t="inlineStr">
        <is>
          <t>Kaus Australis</t>
        </is>
      </c>
      <c r="B24" s="4" t="n">
        <v>275.079</v>
      </c>
      <c r="C24" t="inlineStr">
        <is>
          <t>Washington</t>
        </is>
      </c>
      <c r="D24" s="4" t="n">
        <v>-77.04000000000001</v>
      </c>
      <c r="E24" s="4">
        <f>MOD(Phase-B24+180,360)-180</f>
        <v/>
      </c>
      <c r="F24" s="4">
        <f>MOD(E24-D24+180,360)-180</f>
        <v/>
      </c>
      <c r="G24" s="4">
        <f>F24^2</f>
        <v/>
      </c>
    </row>
    <row r="25">
      <c r="A25" t="inlineStr">
        <is>
          <t>Nunki</t>
        </is>
      </c>
      <c r="B25" s="4" t="n">
        <v>282.385</v>
      </c>
      <c r="C25" t="inlineStr">
        <is>
          <t>Chichén Itzá</t>
        </is>
      </c>
      <c r="D25" s="4" t="n">
        <v>-88.56999999999999</v>
      </c>
      <c r="E25" s="4">
        <f>MOD(Phase-B25+180,360)-180</f>
        <v/>
      </c>
      <c r="F25" s="4">
        <f>MOD(E25-D25+180,360)-180</f>
        <v/>
      </c>
      <c r="G25" s="4">
        <f>F25^2</f>
        <v/>
      </c>
    </row>
    <row r="26">
      <c r="A26" t="inlineStr">
        <is>
          <t>Dabih</t>
        </is>
      </c>
      <c r="B26" s="4" t="n">
        <v>304.047</v>
      </c>
      <c r="C26" t="inlineStr">
        <is>
          <t>Mexico</t>
        </is>
      </c>
      <c r="D26" s="4" t="n">
        <v>-99.13</v>
      </c>
      <c r="E26" s="4">
        <f>MOD(Phase-B26+180,360)-180</f>
        <v/>
      </c>
      <c r="F26" s="4">
        <f>MOD(E26-D26+180,360)-180</f>
        <v/>
      </c>
      <c r="G26" s="4">
        <f>F26^2</f>
        <v/>
      </c>
    </row>
    <row r="27">
      <c r="A27" t="inlineStr">
        <is>
          <t>Deneb Algedi</t>
        </is>
      </c>
      <c r="B27" s="4" t="n">
        <v>323.543</v>
      </c>
      <c r="C27" t="inlineStr">
        <is>
          <t>Mexico</t>
        </is>
      </c>
      <c r="D27" s="4" t="n">
        <v>-99.13</v>
      </c>
      <c r="E27" s="4">
        <f>MOD(Phase-B27+180,360)-180</f>
        <v/>
      </c>
      <c r="F27" s="4">
        <f>MOD(E27-D27+180,360)-180</f>
        <v/>
      </c>
      <c r="G27" s="4">
        <f>F27^2</f>
        <v/>
      </c>
    </row>
    <row r="28">
      <c r="A28" t="inlineStr">
        <is>
          <t>Sadalsuud</t>
        </is>
      </c>
      <c r="B28" s="4" t="n">
        <v>323.395</v>
      </c>
      <c r="C28" t="inlineStr">
        <is>
          <t>Mexico</t>
        </is>
      </c>
      <c r="D28" s="4" t="n">
        <v>-99.13</v>
      </c>
      <c r="E28" s="4">
        <f>MOD(Phase-B28+180,360)-180</f>
        <v/>
      </c>
      <c r="F28" s="4">
        <f>MOD(E28-D28+180,360)-180</f>
        <v/>
      </c>
      <c r="G28" s="4">
        <f>F28^2</f>
        <v/>
      </c>
    </row>
    <row r="29">
      <c r="A29" t="inlineStr">
        <is>
          <t>Sadalmelik</t>
        </is>
      </c>
      <c r="B29" s="4" t="n">
        <v>333.352</v>
      </c>
      <c r="C29" t="inlineStr">
        <is>
          <t>Mexico</t>
        </is>
      </c>
      <c r="D29" s="4" t="n">
        <v>-99.13</v>
      </c>
      <c r="E29" s="4">
        <f>MOD(Phase-B29+180,360)-180</f>
        <v/>
      </c>
      <c r="F29" s="4">
        <f>MOD(E29-D29+180,360)-180</f>
        <v/>
      </c>
      <c r="G29" s="4">
        <f>F29^2</f>
        <v/>
      </c>
    </row>
    <row r="30">
      <c r="A30" t="inlineStr">
        <is>
          <t>Alpherg (η Psc)</t>
        </is>
      </c>
      <c r="B30" s="4" t="n">
        <v>26.816</v>
      </c>
      <c r="C30" t="inlineStr">
        <is>
          <t>Ise</t>
        </is>
      </c>
      <c r="D30" s="4" t="n">
        <v>136.73</v>
      </c>
      <c r="E30" s="4">
        <f>MOD(Phase-B30+180,360)-180</f>
        <v/>
      </c>
      <c r="F30" s="4">
        <f>MOD(E30-D30+180,360)-180</f>
        <v/>
      </c>
      <c r="G30" s="4">
        <f>F30^2</f>
        <v/>
      </c>
    </row>
    <row r="31">
      <c r="A31" t="inlineStr">
        <is>
          <t>Alrescha</t>
        </is>
      </c>
      <c r="B31" s="4" t="n">
        <v>29.379</v>
      </c>
      <c r="C31" t="inlineStr">
        <is>
          <t>Ise</t>
        </is>
      </c>
      <c r="D31" s="4" t="n">
        <v>136.73</v>
      </c>
      <c r="E31" s="4">
        <f>MOD(Phase-B31+180,360)-180</f>
        <v/>
      </c>
      <c r="F31" s="4">
        <f>MOD(E31-D31+180,360)-180</f>
        <v/>
      </c>
      <c r="G31" s="4">
        <f>F31^2</f>
        <v/>
      </c>
    </row>
    <row r="33">
      <c r="A33" t="inlineStr">
        <is>
          <t>Somme des carrés</t>
        </is>
      </c>
      <c r="B33" s="11">
        <f>SUM(G5:G31)</f>
        <v/>
      </c>
    </row>
    <row r="34">
      <c r="A34" t="inlineStr">
        <is>
          <t>φ* = phase − écart moyen (affinage)</t>
        </is>
      </c>
      <c r="B34" s="9">
        <f>Phase-AVERAGE(F5:F31)</f>
        <v/>
      </c>
    </row>
    <row r="35">
      <c r="A35" t="inlineStr">
        <is>
          <t>Étoiles à moins de 1°</t>
        </is>
      </c>
      <c r="B35">
        <f>COUNTIFS(F5:F31,"&lt;1",F5:F31,"&gt;-1")</f>
        <v/>
      </c>
    </row>
    <row r="36">
      <c r="A36" t="inlineStr">
        <is>
          <t>Spica tombe à (°, Est +)</t>
        </is>
      </c>
      <c r="B36" s="4">
        <f>MOD(Phase-203.841+180,360)-180</f>
        <v/>
      </c>
    </row>
    <row r="38">
      <c r="A38" s="7" t="inlineStr">
        <is>
          <t>Balayage de 7 200 positions (pas 0,05°)</t>
        </is>
      </c>
      <c r="B38" s="7" t="inlineStr">
        <is>
          <t>φ (°)</t>
        </is>
      </c>
      <c r="C38" s="7" t="inlineStr">
        <is>
          <t>Spica tombe à (°, Est +)</t>
        </is>
      </c>
      <c r="D38" s="7" t="inlineStr">
        <is>
          <t>Étoiles à moins de 1°</t>
        </is>
      </c>
      <c r="E38" s="7" t="inlineStr">
        <is>
          <t>Somme des carrés</t>
        </is>
      </c>
    </row>
    <row r="39">
      <c r="A39" t="inlineStr">
        <is>
          <t>Calage retenu : Spica sur Ouessant</t>
        </is>
      </c>
      <c r="B39" t="n">
        <v>198.716</v>
      </c>
      <c r="C39" t="n">
        <v>-5.125</v>
      </c>
      <c r="D39" t="n">
        <v>5</v>
      </c>
      <c r="E39" t="n">
        <v>7128.3</v>
      </c>
    </row>
    <row r="40">
      <c r="A40" t="inlineStr">
        <is>
          <t>Deuxième vallée</t>
        </is>
      </c>
      <c r="B40" t="n">
        <v>49.55</v>
      </c>
      <c r="C40" t="n">
        <v>-154.291</v>
      </c>
      <c r="D40" t="n">
        <v>3</v>
      </c>
      <c r="E40" t="n">
        <v>11416.1</v>
      </c>
    </row>
    <row r="41">
      <c r="A41" t="inlineStr">
        <is>
          <t>Troisième vallée</t>
        </is>
      </c>
      <c r="B41" t="n">
        <v>17.8</v>
      </c>
      <c r="C41" t="n">
        <v>173.959</v>
      </c>
      <c r="D41" t="n">
        <v>3</v>
      </c>
      <c r="E41" t="n">
        <v>11548</v>
      </c>
    </row>
    <row r="42">
      <c r="A42" t="inlineStr">
        <is>
          <t>Quatrième vallée</t>
        </is>
      </c>
      <c r="B42" t="n">
        <v>37.15</v>
      </c>
      <c r="C42" t="n">
        <v>-166.691</v>
      </c>
      <c r="D42" t="n">
        <v>4</v>
      </c>
      <c r="E42" t="n">
        <v>11602.2</v>
      </c>
    </row>
    <row r="43">
      <c r="A43" t="inlineStr">
        <is>
          <t>Cinquième vallée</t>
        </is>
      </c>
      <c r="B43" t="n">
        <v>20.6</v>
      </c>
      <c r="C43" t="n">
        <v>176.759</v>
      </c>
      <c r="D43" t="n">
        <v>4</v>
      </c>
      <c r="E43" t="n">
        <v>11618.9</v>
      </c>
    </row>
    <row r="44">
      <c r="A44" t="inlineStr">
        <is>
          <t>Ancien calage : Spica sur Paris</t>
        </is>
      </c>
      <c r="B44" t="n">
        <v>206.178</v>
      </c>
      <c r="C44" t="n">
        <v>2.337</v>
      </c>
      <c r="D44" t="n">
        <v>7</v>
      </c>
      <c r="E44" t="n">
        <v>8049.6</v>
      </c>
    </row>
    <row r="46">
      <c r="A46" t="inlineStr">
        <is>
          <t>Toutes les positions dont la somme reste sous 11 000 se tiennent entre 175° et 216° : une seule vallée, dont le fond est 198,716°. L'ancien calage 206,178° est au 328e rang sur 7 200.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16" customWidth="1" min="4" max="4"/>
    <col width="16" customWidth="1" min="5" max="5"/>
    <col width="10" customWidth="1" min="6" max="6"/>
    <col width="9" customWidth="1" min="7" max="7"/>
    <col width="70" customWidth="1" min="8" max="8"/>
  </cols>
  <sheetData>
    <row r="1">
      <c r="A1" s="1" t="inlineStr">
        <is>
          <t>Les portes de la roue</t>
        </is>
      </c>
    </row>
    <row r="2">
      <c r="A2" s="2" t="inlineStr">
        <is>
          <t>Les 13 méridiens où un signe passe au suivant, et le lieu qui se tient sur chacun. Lues après le calage, hors du calcul.</t>
        </is>
      </c>
    </row>
    <row r="4">
      <c r="A4" s="7" t="inlineStr">
        <is>
          <t>Porte</t>
        </is>
      </c>
      <c r="B4" s="7" t="inlineStr">
        <is>
          <t>λ de la frontière (°)</t>
        </is>
      </c>
      <c r="C4" s="7" t="inlineStr">
        <is>
          <t>Lieu</t>
        </is>
      </c>
      <c r="D4" s="7" t="inlineStr">
        <is>
          <t>Longitude du lieu (°, Est +)</t>
        </is>
      </c>
      <c r="E4" s="7" t="inlineStr">
        <is>
          <t>Méridien de la porte (°)</t>
        </is>
      </c>
      <c r="F4" s="7" t="inlineStr">
        <is>
          <t>Écart (°)</t>
        </is>
      </c>
      <c r="G4" s="7" t="inlineStr">
        <is>
          <t>Gardée</t>
        </is>
      </c>
      <c r="H4" s="7" t="inlineStr">
        <is>
          <t>Nature du lieu</t>
        </is>
      </c>
    </row>
    <row r="5">
      <c r="A5" t="inlineStr">
        <is>
          <t>Poissons | Bélier</t>
        </is>
      </c>
      <c r="B5" s="4" t="n">
        <v>29.09</v>
      </c>
      <c r="C5" t="inlineStr">
        <is>
          <t>Mont Yasur, Tanna</t>
        </is>
      </c>
      <c r="D5" s="4" t="n">
        <v>169.447</v>
      </c>
      <c r="E5" s="4">
        <f>MOD(Phase-B5+180,360)-180</f>
        <v/>
      </c>
      <c r="F5" s="4">
        <f>MOD(E5-D5+180,360)-180</f>
        <v/>
      </c>
      <c r="G5" t="inlineStr">
        <is>
          <t>oui</t>
        </is>
      </c>
      <c r="H5" t="inlineStr">
        <is>
          <t>Volcan qu'on appelle le phare du Pacifique, montagne sacrée de Tanna</t>
        </is>
      </c>
    </row>
    <row r="6">
      <c r="A6" t="inlineStr">
        <is>
          <t>Bélier | Taureau</t>
        </is>
      </c>
      <c r="B6" s="4" t="n">
        <v>53.47</v>
      </c>
      <c r="C6" t="inlineStr">
        <is>
          <t>Melbourne</t>
        </is>
      </c>
      <c r="D6" s="4" t="n">
        <v>144.963</v>
      </c>
      <c r="E6" s="4">
        <f>MOD(Phase-B6+180,360)-180</f>
        <v/>
      </c>
      <c r="F6" s="4">
        <f>MOD(E6-D6+180,360)-180</f>
        <v/>
      </c>
      <c r="G6" t="inlineStr">
        <is>
          <t>non</t>
        </is>
      </c>
      <c r="H6" t="inlineStr">
        <is>
          <t>Ville moderne</t>
        </is>
      </c>
    </row>
    <row r="7">
      <c r="A7" t="inlineStr">
        <is>
          <t>Taureau | Gémeaux</t>
        </is>
      </c>
      <c r="B7" s="4" t="n">
        <v>90.43000000000001</v>
      </c>
      <c r="C7" t="inlineStr">
        <is>
          <t>Xi'an (Chang'an)</t>
        </is>
      </c>
      <c r="D7" s="4" t="n">
        <v>108.94</v>
      </c>
      <c r="E7" s="4">
        <f>MOD(Phase-B7+180,360)-180</f>
        <v/>
      </c>
      <c r="F7" s="4">
        <f>MOD(E7-D7+180,360)-180</f>
        <v/>
      </c>
      <c r="G7" t="inlineStr">
        <is>
          <t>oui</t>
        </is>
      </c>
      <c r="H7" t="inlineStr">
        <is>
          <t>Capitale des Zhou, des Han et des Tang, départ de la route de la soie</t>
        </is>
      </c>
    </row>
    <row r="8">
      <c r="A8" t="inlineStr">
        <is>
          <t>Gémeaux | Cancer</t>
        </is>
      </c>
      <c r="B8" s="4" t="n">
        <v>118.26</v>
      </c>
      <c r="C8" t="inlineStr">
        <is>
          <t>Anuradhapura</t>
        </is>
      </c>
      <c r="D8" s="4" t="n">
        <v>80.396</v>
      </c>
      <c r="E8" s="4">
        <f>MOD(Phase-B8+180,360)-180</f>
        <v/>
      </c>
      <c r="F8" s="4">
        <f>MOD(E8-D8+180,360)-180</f>
        <v/>
      </c>
      <c r="G8" t="inlineStr">
        <is>
          <t>oui</t>
        </is>
      </c>
      <c r="H8" t="inlineStr">
        <is>
          <t>Le figuier sacré Sri Maha Bodhi, bouture de l'arbre de l'Éveil</t>
        </is>
      </c>
    </row>
    <row r="9">
      <c r="A9" t="inlineStr">
        <is>
          <t>Cancer | Lion</t>
        </is>
      </c>
      <c r="B9" s="4" t="n">
        <v>138.18</v>
      </c>
      <c r="C9" t="inlineStr">
        <is>
          <t>Iekaterinbourg</t>
        </is>
      </c>
      <c r="D9" s="4" t="n">
        <v>60.606</v>
      </c>
      <c r="E9" s="4">
        <f>MOD(Phase-B9+180,360)-180</f>
        <v/>
      </c>
      <c r="F9" s="4">
        <f>MOD(E9-D9+180,360)-180</f>
        <v/>
      </c>
      <c r="G9" t="inlineStr">
        <is>
          <t>oui</t>
        </is>
      </c>
      <c r="H9" t="inlineStr">
        <is>
          <t>Ville de l'Oural, sur la frontière de l'Europe et de l'Asie</t>
        </is>
      </c>
    </row>
    <row r="10">
      <c r="A10" t="inlineStr">
        <is>
          <t>Lion | Vierge</t>
        </is>
      </c>
      <c r="B10" s="4" t="n">
        <v>174.15</v>
      </c>
      <c r="C10" t="inlineStr">
        <is>
          <t>Mont Athos</t>
        </is>
      </c>
      <c r="D10" s="4" t="n">
        <v>24.326</v>
      </c>
      <c r="E10" s="4">
        <f>MOD(Phase-B10+180,360)-180</f>
        <v/>
      </c>
      <c r="F10" s="4">
        <f>MOD(E10-D10+180,360)-180</f>
        <v/>
      </c>
      <c r="G10" t="inlineStr">
        <is>
          <t>oui</t>
        </is>
      </c>
      <c r="H10" t="inlineStr">
        <is>
          <t>La Sainte Montagne, jardin de la Vierge</t>
        </is>
      </c>
    </row>
    <row r="11">
      <c r="A11" t="inlineStr">
        <is>
          <t>Vierge | Balance</t>
        </is>
      </c>
      <c r="B11" s="4" t="n">
        <v>218.13</v>
      </c>
      <c r="C11" t="inlineStr">
        <is>
          <t>Hekla</t>
        </is>
      </c>
      <c r="D11" s="4" t="n">
        <v>-19.7</v>
      </c>
      <c r="E11" s="4">
        <f>MOD(Phase-B11+180,360)-180</f>
        <v/>
      </c>
      <c r="F11" s="4">
        <f>MOD(E11-D11+180,360)-180</f>
        <v/>
      </c>
      <c r="G11" t="inlineStr">
        <is>
          <t>oui</t>
        </is>
      </c>
      <c r="H11" t="inlineStr">
        <is>
          <t>Le volcan que le Moyen Âge appelait la porte de l'enfer</t>
        </is>
      </c>
    </row>
    <row r="12">
      <c r="A12" t="inlineStr">
        <is>
          <t>Balance | Scorpion</t>
        </is>
      </c>
      <c r="B12" s="4" t="n">
        <v>241.05</v>
      </c>
      <c r="C12" t="inlineStr">
        <is>
          <t>Cabo Frio</t>
        </is>
      </c>
      <c r="D12" s="4" t="n">
        <v>-42.02</v>
      </c>
      <c r="E12" s="4">
        <f>MOD(Phase-B12+180,360)-180</f>
        <v/>
      </c>
      <c r="F12" s="4">
        <f>MOD(E12-D12+180,360)-180</f>
        <v/>
      </c>
      <c r="G12" t="inlineStr">
        <is>
          <t>non</t>
        </is>
      </c>
      <c r="H12" t="inlineStr">
        <is>
          <t>Cap</t>
        </is>
      </c>
    </row>
    <row r="13">
      <c r="A13" t="inlineStr">
        <is>
          <t>Scorpion | Ophiuchus</t>
        </is>
      </c>
      <c r="B13" s="4" t="n">
        <v>247.68</v>
      </c>
      <c r="C13" t="inlineStr">
        <is>
          <t>Belém</t>
        </is>
      </c>
      <c r="D13" s="4" t="n">
        <v>-48.49</v>
      </c>
      <c r="E13" s="4">
        <f>MOD(Phase-B13+180,360)-180</f>
        <v/>
      </c>
      <c r="F13" s="4">
        <f>MOD(E13-D13+180,360)-180</f>
        <v/>
      </c>
      <c r="G13" t="inlineStr">
        <is>
          <t>oui</t>
        </is>
      </c>
      <c r="H13" t="inlineStr">
        <is>
          <t>Porte de l'Amazone ; le Círio de Nazaré, grande procession mariale</t>
        </is>
      </c>
    </row>
    <row r="14">
      <c r="A14" t="inlineStr">
        <is>
          <t>Ophiuchus | Sagittaire</t>
        </is>
      </c>
      <c r="B14" s="4" t="n">
        <v>266.25</v>
      </c>
      <c r="C14" t="inlineStr">
        <is>
          <t>Salar d'Uyuni</t>
        </is>
      </c>
      <c r="D14" s="4" t="n">
        <v>-67.489</v>
      </c>
      <c r="E14" s="4">
        <f>MOD(Phase-B14+180,360)-180</f>
        <v/>
      </c>
      <c r="F14" s="4">
        <f>MOD(E14-D14+180,360)-180</f>
        <v/>
      </c>
      <c r="G14" t="inlineStr">
        <is>
          <t>oui</t>
        </is>
      </c>
      <c r="H14" t="inlineStr">
        <is>
          <t>Le plus grand miroir de la Terre, où le ciel se pose sur le sol</t>
        </is>
      </c>
    </row>
    <row r="15">
      <c r="A15" t="inlineStr">
        <is>
          <t>Sagittaire | Capricorne</t>
        </is>
      </c>
      <c r="B15" s="4" t="n">
        <v>299.71</v>
      </c>
      <c r="C15" t="inlineStr">
        <is>
          <t>Wirikuta (Real de Catorce)</t>
        </is>
      </c>
      <c r="D15" s="4" t="n">
        <v>-100.885</v>
      </c>
      <c r="E15" s="4">
        <f>MOD(Phase-B15+180,360)-180</f>
        <v/>
      </c>
      <c r="F15" s="4">
        <f>MOD(E15-D15+180,360)-180</f>
        <v/>
      </c>
      <c r="G15" t="inlineStr">
        <is>
          <t>oui</t>
        </is>
      </c>
      <c r="H15" t="inlineStr">
        <is>
          <t>Désert sacré des Huichols, où le soleil est né</t>
        </is>
      </c>
    </row>
    <row r="16">
      <c r="A16" t="inlineStr">
        <is>
          <t>Capricorne | Verseau</t>
        </is>
      </c>
      <c r="B16" s="4" t="n">
        <v>327.88</v>
      </c>
      <c r="C16" t="inlineStr">
        <is>
          <t>Côte de Colombie-Britannique</t>
        </is>
      </c>
      <c r="D16" s="4" t="n"/>
      <c r="E16" s="4">
        <f>MOD(Phase-B16+180,360)-180</f>
        <v/>
      </c>
      <c r="F16" s="4" t="inlineStr">
        <is>
          <t>—</t>
        </is>
      </c>
      <c r="G16" t="inlineStr">
        <is>
          <t>non</t>
        </is>
      </c>
      <c r="H16" t="inlineStr">
        <is>
          <t>Aucun lieu marquant</t>
        </is>
      </c>
    </row>
    <row r="17">
      <c r="A17" t="inlineStr">
        <is>
          <t>Verseau | Poissons</t>
        </is>
      </c>
      <c r="B17" s="4" t="n">
        <v>351.57</v>
      </c>
      <c r="C17" t="inlineStr">
        <is>
          <t>Kodiak</t>
        </is>
      </c>
      <c r="D17" s="4" t="n">
        <v>-152.407</v>
      </c>
      <c r="E17" s="4">
        <f>MOD(Phase-B17+180,360)-180</f>
        <v/>
      </c>
      <c r="F17" s="4">
        <f>MOD(E17-D17+180,360)-180</f>
        <v/>
      </c>
      <c r="G17" t="inlineStr">
        <is>
          <t>non</t>
        </is>
      </c>
      <c r="H17" t="inlineStr">
        <is>
          <t>Île d'Alaska</t>
        </is>
      </c>
    </row>
    <row r="19">
      <c r="A19" t="inlineStr">
        <is>
          <t>Portes gardées</t>
        </is>
      </c>
      <c r="B19">
        <f>COUNTIF(G5:G17,"oui")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Villes historiques de référence</t>
        </is>
      </c>
    </row>
    <row r="2">
      <c r="A2" s="2" t="inlineStr">
        <is>
          <t>Liste figée avant le calcul de phase.</t>
        </is>
      </c>
    </row>
    <row r="4">
      <c r="A4" s="7" t="inlineStr">
        <is>
          <t>Ville</t>
        </is>
      </c>
      <c r="B4" s="7" t="inlineStr">
        <is>
          <t>Longitude (°, Est +)</t>
        </is>
      </c>
    </row>
    <row r="5">
      <c r="A5" t="inlineStr">
        <is>
          <t>Mexico</t>
        </is>
      </c>
      <c r="B5" s="4" t="n">
        <v>-99.13</v>
      </c>
    </row>
    <row r="6">
      <c r="A6" t="inlineStr">
        <is>
          <t>Teotihuacan</t>
        </is>
      </c>
      <c r="B6" s="4" t="n">
        <v>-98.84</v>
      </c>
    </row>
    <row r="7">
      <c r="A7" t="inlineStr">
        <is>
          <t>Tikal</t>
        </is>
      </c>
      <c r="B7" s="4" t="n">
        <v>-89.62</v>
      </c>
    </row>
    <row r="8">
      <c r="A8" t="inlineStr">
        <is>
          <t>Chichén Itzá</t>
        </is>
      </c>
      <c r="B8" s="4" t="n">
        <v>-88.56999999999999</v>
      </c>
    </row>
    <row r="9">
      <c r="A9" t="inlineStr">
        <is>
          <t>Washington</t>
        </is>
      </c>
      <c r="B9" s="4" t="n">
        <v>-77.04000000000001</v>
      </c>
    </row>
    <row r="10">
      <c r="A10" t="inlineStr">
        <is>
          <t>Cusco</t>
        </is>
      </c>
      <c r="B10" s="4" t="n">
        <v>-71.97</v>
      </c>
    </row>
    <row r="11">
      <c r="A11" t="inlineStr">
        <is>
          <t>Saint-Jacques</t>
        </is>
      </c>
      <c r="B11" s="4" t="n">
        <v>-8.539999999999999</v>
      </c>
    </row>
    <row r="12">
      <c r="A12" t="inlineStr">
        <is>
          <t>Cordoue</t>
        </is>
      </c>
      <c r="B12" s="4" t="n">
        <v>-4.78</v>
      </c>
    </row>
    <row r="13">
      <c r="A13" t="inlineStr">
        <is>
          <t>Tolède</t>
        </is>
      </c>
      <c r="B13" s="4" t="n">
        <v>-4.02</v>
      </c>
    </row>
    <row r="14">
      <c r="A14" t="inlineStr">
        <is>
          <t>Londres</t>
        </is>
      </c>
      <c r="B14" s="4" t="n">
        <v>-0.13</v>
      </c>
    </row>
    <row r="15">
      <c r="A15" t="inlineStr">
        <is>
          <t>Paris</t>
        </is>
      </c>
      <c r="B15" s="4" t="n">
        <v>2.35</v>
      </c>
    </row>
    <row r="16">
      <c r="A16" t="inlineStr">
        <is>
          <t>Aix-la-Chapelle</t>
        </is>
      </c>
      <c r="B16" s="4" t="n">
        <v>6.08</v>
      </c>
    </row>
    <row r="17">
      <c r="A17" t="inlineStr">
        <is>
          <t>Carthage</t>
        </is>
      </c>
      <c r="B17" s="4" t="n">
        <v>10.32</v>
      </c>
    </row>
    <row r="18">
      <c r="A18" t="inlineStr">
        <is>
          <t>Rome</t>
        </is>
      </c>
      <c r="B18" s="4" t="n">
        <v>12.48</v>
      </c>
    </row>
    <row r="19">
      <c r="A19" t="inlineStr">
        <is>
          <t>Vienne</t>
        </is>
      </c>
      <c r="B19" s="4" t="n">
        <v>16.37</v>
      </c>
    </row>
    <row r="20">
      <c r="A20" t="inlineStr">
        <is>
          <t>Delphes</t>
        </is>
      </c>
      <c r="B20" s="4" t="n">
        <v>22.5</v>
      </c>
    </row>
    <row r="21">
      <c r="A21" t="inlineStr">
        <is>
          <t>Athènes</t>
        </is>
      </c>
      <c r="B21" s="4" t="n">
        <v>23.73</v>
      </c>
    </row>
    <row r="22">
      <c r="A22" t="inlineStr">
        <is>
          <t>Istanbul</t>
        </is>
      </c>
      <c r="B22" s="4" t="n">
        <v>28.98</v>
      </c>
    </row>
    <row r="23">
      <c r="A23" t="inlineStr">
        <is>
          <t>Alexandrie</t>
        </is>
      </c>
      <c r="B23" s="4" t="n">
        <v>29.92</v>
      </c>
    </row>
    <row r="24">
      <c r="A24" t="inlineStr">
        <is>
          <t>Kiev</t>
        </is>
      </c>
      <c r="B24" s="4" t="n">
        <v>30.52</v>
      </c>
    </row>
    <row r="25">
      <c r="A25" t="inlineStr">
        <is>
          <t>Memphis/Gizeh</t>
        </is>
      </c>
      <c r="B25" s="4" t="n">
        <v>31.13</v>
      </c>
    </row>
    <row r="26">
      <c r="A26" t="inlineStr">
        <is>
          <t>Louxor/Thèbes</t>
        </is>
      </c>
      <c r="B26" s="4" t="n">
        <v>32.64</v>
      </c>
    </row>
    <row r="27">
      <c r="A27" t="inlineStr">
        <is>
          <t>Jérusalem</t>
        </is>
      </c>
      <c r="B27" s="4" t="n">
        <v>35.23</v>
      </c>
    </row>
    <row r="28">
      <c r="A28" t="inlineStr">
        <is>
          <t>Damas</t>
        </is>
      </c>
      <c r="B28" s="4" t="n">
        <v>36.29</v>
      </c>
    </row>
    <row r="29">
      <c r="A29" t="inlineStr">
        <is>
          <t>Moscou</t>
        </is>
      </c>
      <c r="B29" s="4" t="n">
        <v>37.62</v>
      </c>
    </row>
    <row r="30">
      <c r="A30" t="inlineStr">
        <is>
          <t>Médine</t>
        </is>
      </c>
      <c r="B30" s="4" t="n">
        <v>39.61</v>
      </c>
    </row>
    <row r="31">
      <c r="A31" t="inlineStr">
        <is>
          <t>La Mecque</t>
        </is>
      </c>
      <c r="B31" s="4" t="n">
        <v>39.83</v>
      </c>
    </row>
    <row r="32">
      <c r="A32" t="inlineStr">
        <is>
          <t>Ninive</t>
        </is>
      </c>
      <c r="B32" s="4" t="n">
        <v>43.15</v>
      </c>
    </row>
    <row r="33">
      <c r="A33" t="inlineStr">
        <is>
          <t>Bagdad</t>
        </is>
      </c>
      <c r="B33" s="4" t="n">
        <v>44.37</v>
      </c>
    </row>
    <row r="34">
      <c r="A34" t="inlineStr">
        <is>
          <t>Babylone</t>
        </is>
      </c>
      <c r="B34" s="4" t="n">
        <v>44.42</v>
      </c>
    </row>
    <row r="35">
      <c r="A35" t="inlineStr">
        <is>
          <t>Ispahan</t>
        </is>
      </c>
      <c r="B35" s="4" t="n">
        <v>51.67</v>
      </c>
    </row>
    <row r="36">
      <c r="A36" t="inlineStr">
        <is>
          <t>Persépolis</t>
        </is>
      </c>
      <c r="B36" s="4" t="n">
        <v>52.89</v>
      </c>
    </row>
    <row r="37">
      <c r="A37" t="inlineStr">
        <is>
          <t>Boukhara</t>
        </is>
      </c>
      <c r="B37" s="4" t="n">
        <v>64.42</v>
      </c>
    </row>
    <row r="38">
      <c r="A38" t="inlineStr">
        <is>
          <t>Samarcande</t>
        </is>
      </c>
      <c r="B38" s="4" t="n">
        <v>66.97</v>
      </c>
    </row>
    <row r="39">
      <c r="A39" t="inlineStr">
        <is>
          <t>Delhi</t>
        </is>
      </c>
      <c r="B39" s="4" t="n">
        <v>77.20999999999999</v>
      </c>
    </row>
    <row r="40">
      <c r="A40" t="inlineStr">
        <is>
          <t>Bénarès</t>
        </is>
      </c>
      <c r="B40" s="4" t="n">
        <v>83</v>
      </c>
    </row>
    <row r="41">
      <c r="A41" t="inlineStr">
        <is>
          <t>Bodh-Gaya</t>
        </is>
      </c>
      <c r="B41" s="4" t="n">
        <v>84.98999999999999</v>
      </c>
    </row>
    <row r="42">
      <c r="A42" t="inlineStr">
        <is>
          <t>Lhassa</t>
        </is>
      </c>
      <c r="B42" s="4" t="n">
        <v>91.17</v>
      </c>
    </row>
    <row r="43">
      <c r="A43" t="inlineStr">
        <is>
          <t>Pagan</t>
        </is>
      </c>
      <c r="B43" s="4" t="n">
        <v>94.86</v>
      </c>
    </row>
    <row r="44">
      <c r="A44" t="inlineStr">
        <is>
          <t>Angkor</t>
        </is>
      </c>
      <c r="B44" s="4" t="n">
        <v>103.87</v>
      </c>
    </row>
    <row r="45">
      <c r="A45" t="inlineStr">
        <is>
          <t>Xi'an</t>
        </is>
      </c>
      <c r="B45" s="4" t="n">
        <v>108.94</v>
      </c>
    </row>
    <row r="46">
      <c r="A46" t="inlineStr">
        <is>
          <t>Pékin</t>
        </is>
      </c>
      <c r="B46" s="4" t="n">
        <v>116.4</v>
      </c>
    </row>
    <row r="47">
      <c r="A47" t="inlineStr">
        <is>
          <t>Kyoto</t>
        </is>
      </c>
      <c r="B47" s="4" t="n">
        <v>135.77</v>
      </c>
    </row>
    <row r="48">
      <c r="A48" t="inlineStr">
        <is>
          <t>Nara</t>
        </is>
      </c>
      <c r="B48" s="4" t="n">
        <v>135.8</v>
      </c>
    </row>
    <row r="49">
      <c r="A49" t="inlineStr">
        <is>
          <t>Ise</t>
        </is>
      </c>
      <c r="B49" s="4" t="n">
        <v>136.73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2026-10-24T21:43:51Z</dcterms:created>
  <dcterms:modified xmlns:dcterms="http://purl.org/dc/terms/" xmlns:xsi="http://www.w3.org/2001/XMLSchema-instance" xsi:type="dcterms:W3CDTF">2026-10-25T19:06:00Z</dcterms:modified>
</cp:coreProperties>
</file>